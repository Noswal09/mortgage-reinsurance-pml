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/>
  <mc:AlternateContent xmlns:mc="http://schemas.openxmlformats.org/markup-compatibility/2006">
    <mc:Choice Requires="x15">
      <x15ac:absPath xmlns:x15ac="http://schemas.microsoft.com/office/spreadsheetml/2010/11/ac" url="/Users/nishantoswal/Desktop/PythonProgramming/00_Projects/03_MortgageInsurancePMLSimulation/"/>
    </mc:Choice>
  </mc:AlternateContent>
  <xr:revisionPtr revIDLastSave="0" documentId="13_ncr:1_{E2B64A04-6290-FC42-91B9-9A5FEE07D332}" xr6:coauthVersionLast="47" xr6:coauthVersionMax="47" xr10:uidLastSave="{00000000-0000-0000-0000-000000000000}"/>
  <bookViews>
    <workbookView xWindow="0" yWindow="740" windowWidth="29400" windowHeight="18380" activeTab="4" xr2:uid="{00000000-000D-0000-FFFF-FFFF00000000}"/>
  </bookViews>
  <sheets>
    <sheet name="Assumptions" sheetId="1" r:id="rId1"/>
    <sheet name="Treaty Features" sheetId="3" r:id="rId2"/>
    <sheet name="Loan Level Data Inputs" sheetId="2" r:id="rId3"/>
    <sheet name="Loan Level Loss &amp; Premium Calc" sheetId="4" r:id="rId4"/>
    <sheet name="PML Calculation" sheetId="5" r:id="rId5"/>
  </sheets>
  <definedNames>
    <definedName name="_xlnm._FilterDatabase" localSheetId="3" hidden="1">'Loan Level Loss &amp; Premium Calc'!$R$4:$U$504</definedName>
    <definedName name="Basis_of_Cover">'Treaty Features'!$C$10</definedName>
    <definedName name="Brokerage">'Treaty Features'!$C$15</definedName>
    <definedName name="Ceding_Commision">'Treaty Features'!$C$12</definedName>
    <definedName name="Default_Rates">Assumptions!$C$7:$G$11</definedName>
    <definedName name="DefaultRates_Table">Assumptions!$B$6:$G$11</definedName>
    <definedName name="Expense_Loading">Assumptions!$E$16</definedName>
    <definedName name="FET">'Treaty Features'!$C$16</definedName>
    <definedName name="FICO_DefaultTabe">Assumptions!$C$6:$G$6</definedName>
    <definedName name="Final_PML">'PML Calculation'!$C$24</definedName>
    <definedName name="HPI_Movement">Assumptions!$E$14</definedName>
    <definedName name="Insurer_Name">'Treaty Features'!$C$6</definedName>
    <definedName name="Loss_Emergence_Pattern">'Treaty Features'!$B$25:$C$40</definedName>
    <definedName name="LTV_DefaultTable">Assumptions!$B$7:$B$11</definedName>
    <definedName name="LTV_FICO_DefaultRates">Assumptions!$C$7:$G$11</definedName>
    <definedName name="p">'Treaty Features'!$C$14</definedName>
    <definedName name="Premium_Earnings_Pattern">'Treaty Features'!$E$25:$F$40</definedName>
    <definedName name="Profit_Commission">'Treaty Features'!$C$14</definedName>
    <definedName name="QS_Percentage">'Treaty Features'!$C$11</definedName>
    <definedName name="Recovery_Lag">Assumptions!$E$18</definedName>
    <definedName name="Reinsurance_Margin">'Treaty Features'!$C$13</definedName>
    <definedName name="Total_Losses">'PML Calculation'!$C$5</definedName>
    <definedName name="Total_Premiums">'PML Calculation'!$C$6</definedName>
    <definedName name="Treaty_Code">'Treaty Features'!$C$7</definedName>
    <definedName name="Treaty_EndDate">'Treaty Features'!$C$9</definedName>
    <definedName name="Treaty_StartDate">'Treaty Features'!$C$8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6" i="4" l="1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" i="4"/>
  <c r="S5" i="4"/>
  <c r="B11" i="5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E27" i="3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B27" i="3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V6" i="4"/>
  <c r="X6" i="4" s="1"/>
  <c r="V7" i="4"/>
  <c r="X7" i="4" s="1"/>
  <c r="V8" i="4"/>
  <c r="X8" i="4" s="1"/>
  <c r="V9" i="4"/>
  <c r="X9" i="4" s="1"/>
  <c r="V10" i="4"/>
  <c r="X10" i="4" s="1"/>
  <c r="V11" i="4"/>
  <c r="X11" i="4" s="1"/>
  <c r="V12" i="4"/>
  <c r="X12" i="4" s="1"/>
  <c r="V13" i="4"/>
  <c r="V14" i="4"/>
  <c r="V15" i="4"/>
  <c r="X15" i="4" s="1"/>
  <c r="V16" i="4"/>
  <c r="X16" i="4" s="1"/>
  <c r="V17" i="4"/>
  <c r="X17" i="4" s="1"/>
  <c r="V18" i="4"/>
  <c r="X18" i="4" s="1"/>
  <c r="V19" i="4"/>
  <c r="X19" i="4" s="1"/>
  <c r="V20" i="4"/>
  <c r="X20" i="4" s="1"/>
  <c r="V21" i="4"/>
  <c r="X21" i="4" s="1"/>
  <c r="V22" i="4"/>
  <c r="X22" i="4" s="1"/>
  <c r="V23" i="4"/>
  <c r="V24" i="4"/>
  <c r="V25" i="4"/>
  <c r="X25" i="4" s="1"/>
  <c r="V26" i="4"/>
  <c r="X26" i="4" s="1"/>
  <c r="V27" i="4"/>
  <c r="X27" i="4" s="1"/>
  <c r="V28" i="4"/>
  <c r="X28" i="4" s="1"/>
  <c r="V29" i="4"/>
  <c r="X29" i="4" s="1"/>
  <c r="V30" i="4"/>
  <c r="X30" i="4" s="1"/>
  <c r="V31" i="4"/>
  <c r="X31" i="4" s="1"/>
  <c r="V32" i="4"/>
  <c r="X32" i="4" s="1"/>
  <c r="V33" i="4"/>
  <c r="V34" i="4"/>
  <c r="V35" i="4"/>
  <c r="X35" i="4" s="1"/>
  <c r="V36" i="4"/>
  <c r="X36" i="4" s="1"/>
  <c r="V37" i="4"/>
  <c r="X37" i="4" s="1"/>
  <c r="V38" i="4"/>
  <c r="X38" i="4" s="1"/>
  <c r="V39" i="4"/>
  <c r="X39" i="4" s="1"/>
  <c r="V40" i="4"/>
  <c r="X40" i="4" s="1"/>
  <c r="V41" i="4"/>
  <c r="X41" i="4" s="1"/>
  <c r="V42" i="4"/>
  <c r="X42" i="4" s="1"/>
  <c r="V43" i="4"/>
  <c r="V44" i="4"/>
  <c r="V45" i="4"/>
  <c r="X45" i="4" s="1"/>
  <c r="V46" i="4"/>
  <c r="X46" i="4" s="1"/>
  <c r="V47" i="4"/>
  <c r="X47" i="4" s="1"/>
  <c r="V48" i="4"/>
  <c r="X48" i="4" s="1"/>
  <c r="V49" i="4"/>
  <c r="X49" i="4" s="1"/>
  <c r="V50" i="4"/>
  <c r="X50" i="4" s="1"/>
  <c r="V51" i="4"/>
  <c r="X51" i="4" s="1"/>
  <c r="V52" i="4"/>
  <c r="X52" i="4" s="1"/>
  <c r="V53" i="4"/>
  <c r="V54" i="4"/>
  <c r="V55" i="4"/>
  <c r="X55" i="4" s="1"/>
  <c r="V56" i="4"/>
  <c r="X56" i="4" s="1"/>
  <c r="V57" i="4"/>
  <c r="X57" i="4" s="1"/>
  <c r="V58" i="4"/>
  <c r="X58" i="4" s="1"/>
  <c r="V59" i="4"/>
  <c r="X59" i="4" s="1"/>
  <c r="V60" i="4"/>
  <c r="X60" i="4" s="1"/>
  <c r="V61" i="4"/>
  <c r="X61" i="4" s="1"/>
  <c r="V62" i="4"/>
  <c r="X62" i="4" s="1"/>
  <c r="V63" i="4"/>
  <c r="V64" i="4"/>
  <c r="V65" i="4"/>
  <c r="X65" i="4" s="1"/>
  <c r="V66" i="4"/>
  <c r="X66" i="4" s="1"/>
  <c r="V67" i="4"/>
  <c r="X67" i="4" s="1"/>
  <c r="V68" i="4"/>
  <c r="X68" i="4" s="1"/>
  <c r="V69" i="4"/>
  <c r="X69" i="4" s="1"/>
  <c r="V70" i="4"/>
  <c r="X70" i="4" s="1"/>
  <c r="V71" i="4"/>
  <c r="X71" i="4" s="1"/>
  <c r="V72" i="4"/>
  <c r="X72" i="4" s="1"/>
  <c r="V73" i="4"/>
  <c r="V74" i="4"/>
  <c r="V75" i="4"/>
  <c r="X75" i="4" s="1"/>
  <c r="V76" i="4"/>
  <c r="X76" i="4" s="1"/>
  <c r="V77" i="4"/>
  <c r="X77" i="4" s="1"/>
  <c r="V78" i="4"/>
  <c r="X78" i="4" s="1"/>
  <c r="V79" i="4"/>
  <c r="X79" i="4" s="1"/>
  <c r="V80" i="4"/>
  <c r="X80" i="4" s="1"/>
  <c r="V81" i="4"/>
  <c r="X81" i="4" s="1"/>
  <c r="V82" i="4"/>
  <c r="X82" i="4" s="1"/>
  <c r="V83" i="4"/>
  <c r="V84" i="4"/>
  <c r="V85" i="4"/>
  <c r="X85" i="4" s="1"/>
  <c r="V86" i="4"/>
  <c r="X86" i="4" s="1"/>
  <c r="V87" i="4"/>
  <c r="X87" i="4" s="1"/>
  <c r="V88" i="4"/>
  <c r="X88" i="4" s="1"/>
  <c r="V89" i="4"/>
  <c r="X89" i="4" s="1"/>
  <c r="V90" i="4"/>
  <c r="X90" i="4" s="1"/>
  <c r="V91" i="4"/>
  <c r="X91" i="4" s="1"/>
  <c r="V92" i="4"/>
  <c r="X92" i="4" s="1"/>
  <c r="V93" i="4"/>
  <c r="V94" i="4"/>
  <c r="V95" i="4"/>
  <c r="X95" i="4" s="1"/>
  <c r="V96" i="4"/>
  <c r="X96" i="4" s="1"/>
  <c r="V97" i="4"/>
  <c r="X97" i="4" s="1"/>
  <c r="V98" i="4"/>
  <c r="X98" i="4" s="1"/>
  <c r="V99" i="4"/>
  <c r="X99" i="4" s="1"/>
  <c r="V100" i="4"/>
  <c r="X100" i="4" s="1"/>
  <c r="V101" i="4"/>
  <c r="X101" i="4" s="1"/>
  <c r="V102" i="4"/>
  <c r="X102" i="4" s="1"/>
  <c r="V103" i="4"/>
  <c r="V104" i="4"/>
  <c r="V105" i="4"/>
  <c r="X105" i="4" s="1"/>
  <c r="V106" i="4"/>
  <c r="X106" i="4" s="1"/>
  <c r="V107" i="4"/>
  <c r="X107" i="4" s="1"/>
  <c r="V108" i="4"/>
  <c r="X108" i="4" s="1"/>
  <c r="V109" i="4"/>
  <c r="X109" i="4" s="1"/>
  <c r="V110" i="4"/>
  <c r="X110" i="4" s="1"/>
  <c r="V111" i="4"/>
  <c r="X111" i="4" s="1"/>
  <c r="V112" i="4"/>
  <c r="X112" i="4" s="1"/>
  <c r="V113" i="4"/>
  <c r="V114" i="4"/>
  <c r="V115" i="4"/>
  <c r="X115" i="4" s="1"/>
  <c r="V116" i="4"/>
  <c r="X116" i="4" s="1"/>
  <c r="V117" i="4"/>
  <c r="X117" i="4" s="1"/>
  <c r="V118" i="4"/>
  <c r="X118" i="4" s="1"/>
  <c r="V119" i="4"/>
  <c r="X119" i="4" s="1"/>
  <c r="V120" i="4"/>
  <c r="X120" i="4" s="1"/>
  <c r="V121" i="4"/>
  <c r="X121" i="4" s="1"/>
  <c r="V122" i="4"/>
  <c r="X122" i="4" s="1"/>
  <c r="V123" i="4"/>
  <c r="V124" i="4"/>
  <c r="V125" i="4"/>
  <c r="X125" i="4" s="1"/>
  <c r="V126" i="4"/>
  <c r="X126" i="4" s="1"/>
  <c r="V127" i="4"/>
  <c r="X127" i="4" s="1"/>
  <c r="V128" i="4"/>
  <c r="X128" i="4" s="1"/>
  <c r="V129" i="4"/>
  <c r="X129" i="4" s="1"/>
  <c r="V130" i="4"/>
  <c r="X130" i="4" s="1"/>
  <c r="V131" i="4"/>
  <c r="X131" i="4" s="1"/>
  <c r="V132" i="4"/>
  <c r="X132" i="4" s="1"/>
  <c r="V133" i="4"/>
  <c r="V134" i="4"/>
  <c r="V135" i="4"/>
  <c r="X135" i="4" s="1"/>
  <c r="V136" i="4"/>
  <c r="X136" i="4" s="1"/>
  <c r="V137" i="4"/>
  <c r="X137" i="4" s="1"/>
  <c r="V138" i="4"/>
  <c r="X138" i="4" s="1"/>
  <c r="V139" i="4"/>
  <c r="X139" i="4" s="1"/>
  <c r="V140" i="4"/>
  <c r="X140" i="4" s="1"/>
  <c r="V141" i="4"/>
  <c r="X141" i="4" s="1"/>
  <c r="V142" i="4"/>
  <c r="X142" i="4" s="1"/>
  <c r="V143" i="4"/>
  <c r="V144" i="4"/>
  <c r="V145" i="4"/>
  <c r="X145" i="4" s="1"/>
  <c r="V146" i="4"/>
  <c r="X146" i="4" s="1"/>
  <c r="V147" i="4"/>
  <c r="X147" i="4" s="1"/>
  <c r="V148" i="4"/>
  <c r="X148" i="4" s="1"/>
  <c r="V149" i="4"/>
  <c r="X149" i="4" s="1"/>
  <c r="V150" i="4"/>
  <c r="X150" i="4" s="1"/>
  <c r="V151" i="4"/>
  <c r="X151" i="4" s="1"/>
  <c r="V152" i="4"/>
  <c r="X152" i="4" s="1"/>
  <c r="V153" i="4"/>
  <c r="V154" i="4"/>
  <c r="V155" i="4"/>
  <c r="X155" i="4" s="1"/>
  <c r="V156" i="4"/>
  <c r="X156" i="4" s="1"/>
  <c r="V157" i="4"/>
  <c r="X157" i="4" s="1"/>
  <c r="V158" i="4"/>
  <c r="X158" i="4" s="1"/>
  <c r="V159" i="4"/>
  <c r="X159" i="4" s="1"/>
  <c r="V160" i="4"/>
  <c r="X160" i="4" s="1"/>
  <c r="V161" i="4"/>
  <c r="X161" i="4" s="1"/>
  <c r="V162" i="4"/>
  <c r="X162" i="4" s="1"/>
  <c r="V163" i="4"/>
  <c r="V164" i="4"/>
  <c r="V165" i="4"/>
  <c r="X165" i="4" s="1"/>
  <c r="V166" i="4"/>
  <c r="X166" i="4" s="1"/>
  <c r="V167" i="4"/>
  <c r="X167" i="4" s="1"/>
  <c r="V168" i="4"/>
  <c r="X168" i="4" s="1"/>
  <c r="V169" i="4"/>
  <c r="X169" i="4" s="1"/>
  <c r="V170" i="4"/>
  <c r="X170" i="4" s="1"/>
  <c r="V171" i="4"/>
  <c r="X171" i="4" s="1"/>
  <c r="V172" i="4"/>
  <c r="X172" i="4" s="1"/>
  <c r="V173" i="4"/>
  <c r="V174" i="4"/>
  <c r="V175" i="4"/>
  <c r="X175" i="4" s="1"/>
  <c r="V176" i="4"/>
  <c r="X176" i="4" s="1"/>
  <c r="V177" i="4"/>
  <c r="X177" i="4" s="1"/>
  <c r="V178" i="4"/>
  <c r="X178" i="4" s="1"/>
  <c r="V179" i="4"/>
  <c r="X179" i="4" s="1"/>
  <c r="V180" i="4"/>
  <c r="X180" i="4" s="1"/>
  <c r="V181" i="4"/>
  <c r="X181" i="4" s="1"/>
  <c r="V182" i="4"/>
  <c r="X182" i="4" s="1"/>
  <c r="V183" i="4"/>
  <c r="V184" i="4"/>
  <c r="V185" i="4"/>
  <c r="X185" i="4" s="1"/>
  <c r="V186" i="4"/>
  <c r="X186" i="4" s="1"/>
  <c r="V187" i="4"/>
  <c r="X187" i="4" s="1"/>
  <c r="V188" i="4"/>
  <c r="X188" i="4" s="1"/>
  <c r="V189" i="4"/>
  <c r="X189" i="4" s="1"/>
  <c r="V190" i="4"/>
  <c r="X190" i="4" s="1"/>
  <c r="V191" i="4"/>
  <c r="X191" i="4" s="1"/>
  <c r="V192" i="4"/>
  <c r="X192" i="4" s="1"/>
  <c r="V193" i="4"/>
  <c r="V194" i="4"/>
  <c r="V195" i="4"/>
  <c r="X195" i="4" s="1"/>
  <c r="V196" i="4"/>
  <c r="X196" i="4" s="1"/>
  <c r="V197" i="4"/>
  <c r="X197" i="4" s="1"/>
  <c r="V198" i="4"/>
  <c r="X198" i="4" s="1"/>
  <c r="V199" i="4"/>
  <c r="X199" i="4" s="1"/>
  <c r="V200" i="4"/>
  <c r="X200" i="4" s="1"/>
  <c r="V201" i="4"/>
  <c r="X201" i="4" s="1"/>
  <c r="V202" i="4"/>
  <c r="X202" i="4" s="1"/>
  <c r="V203" i="4"/>
  <c r="V204" i="4"/>
  <c r="V205" i="4"/>
  <c r="X205" i="4" s="1"/>
  <c r="V206" i="4"/>
  <c r="X206" i="4" s="1"/>
  <c r="V207" i="4"/>
  <c r="X207" i="4" s="1"/>
  <c r="V208" i="4"/>
  <c r="X208" i="4" s="1"/>
  <c r="V209" i="4"/>
  <c r="X209" i="4" s="1"/>
  <c r="V210" i="4"/>
  <c r="X210" i="4" s="1"/>
  <c r="V211" i="4"/>
  <c r="X211" i="4" s="1"/>
  <c r="V212" i="4"/>
  <c r="X212" i="4" s="1"/>
  <c r="V213" i="4"/>
  <c r="V214" i="4"/>
  <c r="V215" i="4"/>
  <c r="X215" i="4" s="1"/>
  <c r="V216" i="4"/>
  <c r="X216" i="4" s="1"/>
  <c r="V217" i="4"/>
  <c r="X217" i="4" s="1"/>
  <c r="V218" i="4"/>
  <c r="X218" i="4" s="1"/>
  <c r="V219" i="4"/>
  <c r="X219" i="4" s="1"/>
  <c r="V220" i="4"/>
  <c r="X220" i="4" s="1"/>
  <c r="V221" i="4"/>
  <c r="X221" i="4" s="1"/>
  <c r="V222" i="4"/>
  <c r="X222" i="4" s="1"/>
  <c r="V223" i="4"/>
  <c r="V224" i="4"/>
  <c r="V225" i="4"/>
  <c r="X225" i="4" s="1"/>
  <c r="V226" i="4"/>
  <c r="X226" i="4" s="1"/>
  <c r="V227" i="4"/>
  <c r="X227" i="4" s="1"/>
  <c r="V228" i="4"/>
  <c r="X228" i="4" s="1"/>
  <c r="V229" i="4"/>
  <c r="X229" i="4" s="1"/>
  <c r="V230" i="4"/>
  <c r="X230" i="4" s="1"/>
  <c r="V231" i="4"/>
  <c r="X231" i="4" s="1"/>
  <c r="V232" i="4"/>
  <c r="X232" i="4" s="1"/>
  <c r="V233" i="4"/>
  <c r="V234" i="4"/>
  <c r="V235" i="4"/>
  <c r="X235" i="4" s="1"/>
  <c r="V236" i="4"/>
  <c r="X236" i="4" s="1"/>
  <c r="V237" i="4"/>
  <c r="X237" i="4" s="1"/>
  <c r="V238" i="4"/>
  <c r="X238" i="4" s="1"/>
  <c r="V239" i="4"/>
  <c r="X239" i="4" s="1"/>
  <c r="V240" i="4"/>
  <c r="X240" i="4" s="1"/>
  <c r="V241" i="4"/>
  <c r="X241" i="4" s="1"/>
  <c r="V242" i="4"/>
  <c r="X242" i="4" s="1"/>
  <c r="V243" i="4"/>
  <c r="V244" i="4"/>
  <c r="V245" i="4"/>
  <c r="X245" i="4" s="1"/>
  <c r="V246" i="4"/>
  <c r="X246" i="4" s="1"/>
  <c r="V247" i="4"/>
  <c r="X247" i="4" s="1"/>
  <c r="V248" i="4"/>
  <c r="X248" i="4" s="1"/>
  <c r="V249" i="4"/>
  <c r="X249" i="4" s="1"/>
  <c r="V250" i="4"/>
  <c r="X250" i="4" s="1"/>
  <c r="V251" i="4"/>
  <c r="X251" i="4" s="1"/>
  <c r="V252" i="4"/>
  <c r="X252" i="4" s="1"/>
  <c r="V253" i="4"/>
  <c r="V254" i="4"/>
  <c r="V255" i="4"/>
  <c r="X255" i="4" s="1"/>
  <c r="V256" i="4"/>
  <c r="X256" i="4" s="1"/>
  <c r="V257" i="4"/>
  <c r="X257" i="4" s="1"/>
  <c r="V258" i="4"/>
  <c r="X258" i="4" s="1"/>
  <c r="V259" i="4"/>
  <c r="X259" i="4" s="1"/>
  <c r="V260" i="4"/>
  <c r="X260" i="4" s="1"/>
  <c r="V261" i="4"/>
  <c r="X261" i="4" s="1"/>
  <c r="V262" i="4"/>
  <c r="X262" i="4" s="1"/>
  <c r="V263" i="4"/>
  <c r="V264" i="4"/>
  <c r="V265" i="4"/>
  <c r="X265" i="4" s="1"/>
  <c r="V266" i="4"/>
  <c r="X266" i="4" s="1"/>
  <c r="V267" i="4"/>
  <c r="X267" i="4" s="1"/>
  <c r="V268" i="4"/>
  <c r="X268" i="4" s="1"/>
  <c r="V269" i="4"/>
  <c r="X269" i="4" s="1"/>
  <c r="V270" i="4"/>
  <c r="X270" i="4" s="1"/>
  <c r="V271" i="4"/>
  <c r="X271" i="4" s="1"/>
  <c r="V272" i="4"/>
  <c r="X272" i="4" s="1"/>
  <c r="V273" i="4"/>
  <c r="V274" i="4"/>
  <c r="V275" i="4"/>
  <c r="X275" i="4" s="1"/>
  <c r="V276" i="4"/>
  <c r="X276" i="4" s="1"/>
  <c r="V277" i="4"/>
  <c r="X277" i="4" s="1"/>
  <c r="V278" i="4"/>
  <c r="X278" i="4" s="1"/>
  <c r="V279" i="4"/>
  <c r="X279" i="4" s="1"/>
  <c r="V280" i="4"/>
  <c r="X280" i="4" s="1"/>
  <c r="V281" i="4"/>
  <c r="X281" i="4" s="1"/>
  <c r="V282" i="4"/>
  <c r="X282" i="4" s="1"/>
  <c r="V283" i="4"/>
  <c r="V284" i="4"/>
  <c r="V285" i="4"/>
  <c r="X285" i="4" s="1"/>
  <c r="V286" i="4"/>
  <c r="X286" i="4" s="1"/>
  <c r="V287" i="4"/>
  <c r="X287" i="4" s="1"/>
  <c r="V288" i="4"/>
  <c r="X288" i="4" s="1"/>
  <c r="V289" i="4"/>
  <c r="X289" i="4" s="1"/>
  <c r="V290" i="4"/>
  <c r="X290" i="4" s="1"/>
  <c r="V291" i="4"/>
  <c r="X291" i="4" s="1"/>
  <c r="V292" i="4"/>
  <c r="X292" i="4" s="1"/>
  <c r="V293" i="4"/>
  <c r="V294" i="4"/>
  <c r="V295" i="4"/>
  <c r="X295" i="4" s="1"/>
  <c r="V296" i="4"/>
  <c r="X296" i="4" s="1"/>
  <c r="V297" i="4"/>
  <c r="X297" i="4" s="1"/>
  <c r="V298" i="4"/>
  <c r="X298" i="4" s="1"/>
  <c r="V299" i="4"/>
  <c r="X299" i="4" s="1"/>
  <c r="V300" i="4"/>
  <c r="X300" i="4" s="1"/>
  <c r="V301" i="4"/>
  <c r="X301" i="4" s="1"/>
  <c r="V302" i="4"/>
  <c r="X302" i="4" s="1"/>
  <c r="V303" i="4"/>
  <c r="V304" i="4"/>
  <c r="V305" i="4"/>
  <c r="X305" i="4" s="1"/>
  <c r="V306" i="4"/>
  <c r="X306" i="4" s="1"/>
  <c r="V307" i="4"/>
  <c r="X307" i="4" s="1"/>
  <c r="V308" i="4"/>
  <c r="X308" i="4" s="1"/>
  <c r="V309" i="4"/>
  <c r="X309" i="4" s="1"/>
  <c r="V310" i="4"/>
  <c r="X310" i="4" s="1"/>
  <c r="V311" i="4"/>
  <c r="X311" i="4" s="1"/>
  <c r="V312" i="4"/>
  <c r="X312" i="4" s="1"/>
  <c r="V313" i="4"/>
  <c r="V314" i="4"/>
  <c r="V315" i="4"/>
  <c r="X315" i="4" s="1"/>
  <c r="V316" i="4"/>
  <c r="X316" i="4" s="1"/>
  <c r="V317" i="4"/>
  <c r="X317" i="4" s="1"/>
  <c r="V318" i="4"/>
  <c r="X318" i="4" s="1"/>
  <c r="V319" i="4"/>
  <c r="X319" i="4" s="1"/>
  <c r="V320" i="4"/>
  <c r="X320" i="4" s="1"/>
  <c r="V321" i="4"/>
  <c r="X321" i="4" s="1"/>
  <c r="V322" i="4"/>
  <c r="X322" i="4" s="1"/>
  <c r="V323" i="4"/>
  <c r="V324" i="4"/>
  <c r="V325" i="4"/>
  <c r="X325" i="4" s="1"/>
  <c r="V326" i="4"/>
  <c r="X326" i="4" s="1"/>
  <c r="V327" i="4"/>
  <c r="X327" i="4" s="1"/>
  <c r="V328" i="4"/>
  <c r="X328" i="4" s="1"/>
  <c r="V329" i="4"/>
  <c r="X329" i="4" s="1"/>
  <c r="V330" i="4"/>
  <c r="X330" i="4" s="1"/>
  <c r="V331" i="4"/>
  <c r="X331" i="4" s="1"/>
  <c r="V332" i="4"/>
  <c r="X332" i="4" s="1"/>
  <c r="V333" i="4"/>
  <c r="V334" i="4"/>
  <c r="V335" i="4"/>
  <c r="X335" i="4" s="1"/>
  <c r="V336" i="4"/>
  <c r="X336" i="4" s="1"/>
  <c r="V337" i="4"/>
  <c r="X337" i="4" s="1"/>
  <c r="V338" i="4"/>
  <c r="X338" i="4" s="1"/>
  <c r="V339" i="4"/>
  <c r="X339" i="4" s="1"/>
  <c r="V340" i="4"/>
  <c r="X340" i="4" s="1"/>
  <c r="V341" i="4"/>
  <c r="X341" i="4" s="1"/>
  <c r="V342" i="4"/>
  <c r="X342" i="4" s="1"/>
  <c r="V343" i="4"/>
  <c r="V344" i="4"/>
  <c r="V345" i="4"/>
  <c r="X345" i="4" s="1"/>
  <c r="V346" i="4"/>
  <c r="X346" i="4" s="1"/>
  <c r="V347" i="4"/>
  <c r="X347" i="4" s="1"/>
  <c r="V348" i="4"/>
  <c r="X348" i="4" s="1"/>
  <c r="V349" i="4"/>
  <c r="X349" i="4" s="1"/>
  <c r="V350" i="4"/>
  <c r="X350" i="4" s="1"/>
  <c r="V351" i="4"/>
  <c r="X351" i="4" s="1"/>
  <c r="V352" i="4"/>
  <c r="X352" i="4" s="1"/>
  <c r="V353" i="4"/>
  <c r="V354" i="4"/>
  <c r="V355" i="4"/>
  <c r="X355" i="4" s="1"/>
  <c r="V356" i="4"/>
  <c r="X356" i="4" s="1"/>
  <c r="V357" i="4"/>
  <c r="X357" i="4" s="1"/>
  <c r="V358" i="4"/>
  <c r="X358" i="4" s="1"/>
  <c r="V359" i="4"/>
  <c r="X359" i="4" s="1"/>
  <c r="V360" i="4"/>
  <c r="X360" i="4" s="1"/>
  <c r="V361" i="4"/>
  <c r="X361" i="4" s="1"/>
  <c r="V362" i="4"/>
  <c r="X362" i="4" s="1"/>
  <c r="V363" i="4"/>
  <c r="V364" i="4"/>
  <c r="V365" i="4"/>
  <c r="X365" i="4" s="1"/>
  <c r="V366" i="4"/>
  <c r="X366" i="4" s="1"/>
  <c r="V367" i="4"/>
  <c r="X367" i="4" s="1"/>
  <c r="V368" i="4"/>
  <c r="X368" i="4" s="1"/>
  <c r="V369" i="4"/>
  <c r="X369" i="4" s="1"/>
  <c r="V370" i="4"/>
  <c r="X370" i="4" s="1"/>
  <c r="V371" i="4"/>
  <c r="X371" i="4" s="1"/>
  <c r="V372" i="4"/>
  <c r="X372" i="4" s="1"/>
  <c r="V373" i="4"/>
  <c r="V374" i="4"/>
  <c r="V375" i="4"/>
  <c r="X375" i="4" s="1"/>
  <c r="V376" i="4"/>
  <c r="X376" i="4" s="1"/>
  <c r="V377" i="4"/>
  <c r="X377" i="4" s="1"/>
  <c r="V378" i="4"/>
  <c r="X378" i="4" s="1"/>
  <c r="V379" i="4"/>
  <c r="X379" i="4" s="1"/>
  <c r="V380" i="4"/>
  <c r="X380" i="4" s="1"/>
  <c r="V381" i="4"/>
  <c r="X381" i="4" s="1"/>
  <c r="V382" i="4"/>
  <c r="X382" i="4" s="1"/>
  <c r="V383" i="4"/>
  <c r="V384" i="4"/>
  <c r="V385" i="4"/>
  <c r="X385" i="4" s="1"/>
  <c r="V386" i="4"/>
  <c r="X386" i="4" s="1"/>
  <c r="V387" i="4"/>
  <c r="X387" i="4" s="1"/>
  <c r="V388" i="4"/>
  <c r="X388" i="4" s="1"/>
  <c r="V389" i="4"/>
  <c r="X389" i="4" s="1"/>
  <c r="V390" i="4"/>
  <c r="X390" i="4" s="1"/>
  <c r="V391" i="4"/>
  <c r="X391" i="4" s="1"/>
  <c r="V392" i="4"/>
  <c r="X392" i="4" s="1"/>
  <c r="V393" i="4"/>
  <c r="V394" i="4"/>
  <c r="V395" i="4"/>
  <c r="X395" i="4" s="1"/>
  <c r="V396" i="4"/>
  <c r="X396" i="4" s="1"/>
  <c r="V397" i="4"/>
  <c r="X397" i="4" s="1"/>
  <c r="V398" i="4"/>
  <c r="X398" i="4" s="1"/>
  <c r="V399" i="4"/>
  <c r="X399" i="4" s="1"/>
  <c r="V400" i="4"/>
  <c r="X400" i="4" s="1"/>
  <c r="V401" i="4"/>
  <c r="X401" i="4" s="1"/>
  <c r="V402" i="4"/>
  <c r="X402" i="4" s="1"/>
  <c r="V403" i="4"/>
  <c r="V404" i="4"/>
  <c r="V405" i="4"/>
  <c r="X405" i="4" s="1"/>
  <c r="V406" i="4"/>
  <c r="X406" i="4" s="1"/>
  <c r="V407" i="4"/>
  <c r="X407" i="4" s="1"/>
  <c r="V408" i="4"/>
  <c r="X408" i="4" s="1"/>
  <c r="V409" i="4"/>
  <c r="X409" i="4" s="1"/>
  <c r="V410" i="4"/>
  <c r="X410" i="4" s="1"/>
  <c r="V411" i="4"/>
  <c r="X411" i="4" s="1"/>
  <c r="V412" i="4"/>
  <c r="X412" i="4" s="1"/>
  <c r="V413" i="4"/>
  <c r="V414" i="4"/>
  <c r="V415" i="4"/>
  <c r="X415" i="4" s="1"/>
  <c r="V416" i="4"/>
  <c r="X416" i="4" s="1"/>
  <c r="V417" i="4"/>
  <c r="X417" i="4" s="1"/>
  <c r="V418" i="4"/>
  <c r="X418" i="4" s="1"/>
  <c r="V419" i="4"/>
  <c r="X419" i="4" s="1"/>
  <c r="V420" i="4"/>
  <c r="X420" i="4" s="1"/>
  <c r="V421" i="4"/>
  <c r="X421" i="4" s="1"/>
  <c r="V422" i="4"/>
  <c r="X422" i="4" s="1"/>
  <c r="V423" i="4"/>
  <c r="V424" i="4"/>
  <c r="V425" i="4"/>
  <c r="X425" i="4" s="1"/>
  <c r="V426" i="4"/>
  <c r="X426" i="4" s="1"/>
  <c r="V427" i="4"/>
  <c r="X427" i="4" s="1"/>
  <c r="V428" i="4"/>
  <c r="X428" i="4" s="1"/>
  <c r="V429" i="4"/>
  <c r="X429" i="4" s="1"/>
  <c r="V430" i="4"/>
  <c r="X430" i="4" s="1"/>
  <c r="V431" i="4"/>
  <c r="X431" i="4" s="1"/>
  <c r="V432" i="4"/>
  <c r="X432" i="4" s="1"/>
  <c r="V433" i="4"/>
  <c r="V434" i="4"/>
  <c r="V435" i="4"/>
  <c r="X435" i="4" s="1"/>
  <c r="V436" i="4"/>
  <c r="X436" i="4" s="1"/>
  <c r="V437" i="4"/>
  <c r="X437" i="4" s="1"/>
  <c r="V438" i="4"/>
  <c r="X438" i="4" s="1"/>
  <c r="V439" i="4"/>
  <c r="X439" i="4" s="1"/>
  <c r="V440" i="4"/>
  <c r="X440" i="4" s="1"/>
  <c r="V441" i="4"/>
  <c r="X441" i="4" s="1"/>
  <c r="V442" i="4"/>
  <c r="X442" i="4" s="1"/>
  <c r="V443" i="4"/>
  <c r="V444" i="4"/>
  <c r="V445" i="4"/>
  <c r="X445" i="4" s="1"/>
  <c r="V446" i="4"/>
  <c r="X446" i="4" s="1"/>
  <c r="V447" i="4"/>
  <c r="X447" i="4" s="1"/>
  <c r="V448" i="4"/>
  <c r="X448" i="4" s="1"/>
  <c r="V449" i="4"/>
  <c r="X449" i="4" s="1"/>
  <c r="V450" i="4"/>
  <c r="X450" i="4" s="1"/>
  <c r="V451" i="4"/>
  <c r="X451" i="4" s="1"/>
  <c r="V452" i="4"/>
  <c r="X452" i="4" s="1"/>
  <c r="V453" i="4"/>
  <c r="V454" i="4"/>
  <c r="V455" i="4"/>
  <c r="X455" i="4" s="1"/>
  <c r="V456" i="4"/>
  <c r="X456" i="4" s="1"/>
  <c r="V457" i="4"/>
  <c r="X457" i="4" s="1"/>
  <c r="V458" i="4"/>
  <c r="X458" i="4" s="1"/>
  <c r="V459" i="4"/>
  <c r="X459" i="4" s="1"/>
  <c r="V460" i="4"/>
  <c r="X460" i="4" s="1"/>
  <c r="V461" i="4"/>
  <c r="X461" i="4" s="1"/>
  <c r="V462" i="4"/>
  <c r="X462" i="4" s="1"/>
  <c r="V463" i="4"/>
  <c r="V464" i="4"/>
  <c r="V465" i="4"/>
  <c r="X465" i="4" s="1"/>
  <c r="V466" i="4"/>
  <c r="X466" i="4" s="1"/>
  <c r="V467" i="4"/>
  <c r="X467" i="4" s="1"/>
  <c r="V468" i="4"/>
  <c r="X468" i="4" s="1"/>
  <c r="V469" i="4"/>
  <c r="X469" i="4" s="1"/>
  <c r="V470" i="4"/>
  <c r="X470" i="4" s="1"/>
  <c r="V471" i="4"/>
  <c r="X471" i="4" s="1"/>
  <c r="V472" i="4"/>
  <c r="X472" i="4" s="1"/>
  <c r="V473" i="4"/>
  <c r="V474" i="4"/>
  <c r="V475" i="4"/>
  <c r="X475" i="4" s="1"/>
  <c r="V476" i="4"/>
  <c r="X476" i="4" s="1"/>
  <c r="V477" i="4"/>
  <c r="X477" i="4" s="1"/>
  <c r="V478" i="4"/>
  <c r="X478" i="4" s="1"/>
  <c r="V479" i="4"/>
  <c r="X479" i="4" s="1"/>
  <c r="V480" i="4"/>
  <c r="X480" i="4" s="1"/>
  <c r="V481" i="4"/>
  <c r="X481" i="4" s="1"/>
  <c r="V482" i="4"/>
  <c r="X482" i="4" s="1"/>
  <c r="V483" i="4"/>
  <c r="V484" i="4"/>
  <c r="V485" i="4"/>
  <c r="X485" i="4" s="1"/>
  <c r="V486" i="4"/>
  <c r="X486" i="4" s="1"/>
  <c r="V487" i="4"/>
  <c r="X487" i="4" s="1"/>
  <c r="V488" i="4"/>
  <c r="X488" i="4" s="1"/>
  <c r="V489" i="4"/>
  <c r="X489" i="4" s="1"/>
  <c r="V490" i="4"/>
  <c r="X490" i="4" s="1"/>
  <c r="V491" i="4"/>
  <c r="X491" i="4" s="1"/>
  <c r="V492" i="4"/>
  <c r="X492" i="4" s="1"/>
  <c r="V493" i="4"/>
  <c r="V494" i="4"/>
  <c r="V495" i="4"/>
  <c r="X495" i="4" s="1"/>
  <c r="V496" i="4"/>
  <c r="X496" i="4" s="1"/>
  <c r="V497" i="4"/>
  <c r="X497" i="4" s="1"/>
  <c r="V498" i="4"/>
  <c r="X498" i="4" s="1"/>
  <c r="V499" i="4"/>
  <c r="X499" i="4" s="1"/>
  <c r="V500" i="4"/>
  <c r="X500" i="4" s="1"/>
  <c r="V501" i="4"/>
  <c r="X501" i="4" s="1"/>
  <c r="V502" i="4"/>
  <c r="X502" i="4" s="1"/>
  <c r="V503" i="4"/>
  <c r="V504" i="4"/>
  <c r="V5" i="4"/>
  <c r="T504" i="4"/>
  <c r="S504" i="4"/>
  <c r="T503" i="4"/>
  <c r="S503" i="4"/>
  <c r="U503" i="4" s="1"/>
  <c r="T502" i="4"/>
  <c r="S502" i="4"/>
  <c r="T501" i="4"/>
  <c r="S501" i="4"/>
  <c r="T500" i="4"/>
  <c r="S500" i="4"/>
  <c r="T499" i="4"/>
  <c r="S499" i="4"/>
  <c r="T498" i="4"/>
  <c r="S498" i="4"/>
  <c r="U498" i="4" s="1"/>
  <c r="T497" i="4"/>
  <c r="S497" i="4"/>
  <c r="U497" i="4" s="1"/>
  <c r="T496" i="4"/>
  <c r="S496" i="4"/>
  <c r="T495" i="4"/>
  <c r="S495" i="4"/>
  <c r="U495" i="4" s="1"/>
  <c r="T494" i="4"/>
  <c r="S494" i="4"/>
  <c r="T493" i="4"/>
  <c r="S493" i="4"/>
  <c r="U493" i="4" s="1"/>
  <c r="T492" i="4"/>
  <c r="S492" i="4"/>
  <c r="U492" i="4" s="1"/>
  <c r="T491" i="4"/>
  <c r="S491" i="4"/>
  <c r="T490" i="4"/>
  <c r="S490" i="4"/>
  <c r="U490" i="4" s="1"/>
  <c r="T489" i="4"/>
  <c r="S489" i="4"/>
  <c r="T488" i="4"/>
  <c r="S488" i="4"/>
  <c r="U488" i="4" s="1"/>
  <c r="T487" i="4"/>
  <c r="S487" i="4"/>
  <c r="U487" i="4" s="1"/>
  <c r="T486" i="4"/>
  <c r="S486" i="4"/>
  <c r="T485" i="4"/>
  <c r="S485" i="4"/>
  <c r="U485" i="4" s="1"/>
  <c r="T484" i="4"/>
  <c r="S484" i="4"/>
  <c r="T483" i="4"/>
  <c r="S483" i="4"/>
  <c r="U483" i="4" s="1"/>
  <c r="T482" i="4"/>
  <c r="S482" i="4"/>
  <c r="U482" i="4" s="1"/>
  <c r="T481" i="4"/>
  <c r="S481" i="4"/>
  <c r="T480" i="4"/>
  <c r="S480" i="4"/>
  <c r="U480" i="4" s="1"/>
  <c r="T479" i="4"/>
  <c r="S479" i="4"/>
  <c r="T478" i="4"/>
  <c r="S478" i="4"/>
  <c r="U478" i="4" s="1"/>
  <c r="T477" i="4"/>
  <c r="S477" i="4"/>
  <c r="U477" i="4" s="1"/>
  <c r="T476" i="4"/>
  <c r="S476" i="4"/>
  <c r="T475" i="4"/>
  <c r="S475" i="4"/>
  <c r="U475" i="4" s="1"/>
  <c r="T474" i="4"/>
  <c r="S474" i="4"/>
  <c r="T473" i="4"/>
  <c r="S473" i="4"/>
  <c r="U473" i="4" s="1"/>
  <c r="T472" i="4"/>
  <c r="S472" i="4"/>
  <c r="U472" i="4" s="1"/>
  <c r="T471" i="4"/>
  <c r="S471" i="4"/>
  <c r="T470" i="4"/>
  <c r="S470" i="4"/>
  <c r="U470" i="4" s="1"/>
  <c r="T469" i="4"/>
  <c r="S469" i="4"/>
  <c r="T468" i="4"/>
  <c r="S468" i="4"/>
  <c r="U468" i="4" s="1"/>
  <c r="T467" i="4"/>
  <c r="S467" i="4"/>
  <c r="U467" i="4" s="1"/>
  <c r="T466" i="4"/>
  <c r="S466" i="4"/>
  <c r="T465" i="4"/>
  <c r="S465" i="4"/>
  <c r="U465" i="4" s="1"/>
  <c r="T464" i="4"/>
  <c r="S464" i="4"/>
  <c r="T463" i="4"/>
  <c r="S463" i="4"/>
  <c r="U463" i="4" s="1"/>
  <c r="T462" i="4"/>
  <c r="S462" i="4"/>
  <c r="U462" i="4" s="1"/>
  <c r="T461" i="4"/>
  <c r="S461" i="4"/>
  <c r="T460" i="4"/>
  <c r="S460" i="4"/>
  <c r="U460" i="4" s="1"/>
  <c r="T459" i="4"/>
  <c r="S459" i="4"/>
  <c r="T458" i="4"/>
  <c r="S458" i="4"/>
  <c r="U458" i="4" s="1"/>
  <c r="T457" i="4"/>
  <c r="S457" i="4"/>
  <c r="U457" i="4" s="1"/>
  <c r="T456" i="4"/>
  <c r="S456" i="4"/>
  <c r="T455" i="4"/>
  <c r="S455" i="4"/>
  <c r="U455" i="4" s="1"/>
  <c r="T454" i="4"/>
  <c r="S454" i="4"/>
  <c r="T453" i="4"/>
  <c r="S453" i="4"/>
  <c r="U453" i="4" s="1"/>
  <c r="T452" i="4"/>
  <c r="S452" i="4"/>
  <c r="U452" i="4" s="1"/>
  <c r="T451" i="4"/>
  <c r="S451" i="4"/>
  <c r="T450" i="4"/>
  <c r="S450" i="4"/>
  <c r="U450" i="4" s="1"/>
  <c r="T449" i="4"/>
  <c r="S449" i="4"/>
  <c r="T448" i="4"/>
  <c r="S448" i="4"/>
  <c r="U448" i="4" s="1"/>
  <c r="T447" i="4"/>
  <c r="S447" i="4"/>
  <c r="U447" i="4" s="1"/>
  <c r="T446" i="4"/>
  <c r="S446" i="4"/>
  <c r="T445" i="4"/>
  <c r="S445" i="4"/>
  <c r="U445" i="4" s="1"/>
  <c r="T444" i="4"/>
  <c r="S444" i="4"/>
  <c r="T443" i="4"/>
  <c r="S443" i="4"/>
  <c r="U443" i="4" s="1"/>
  <c r="T442" i="4"/>
  <c r="S442" i="4"/>
  <c r="U442" i="4" s="1"/>
  <c r="T441" i="4"/>
  <c r="S441" i="4"/>
  <c r="T440" i="4"/>
  <c r="S440" i="4"/>
  <c r="U440" i="4" s="1"/>
  <c r="T439" i="4"/>
  <c r="S439" i="4"/>
  <c r="T438" i="4"/>
  <c r="S438" i="4"/>
  <c r="U438" i="4" s="1"/>
  <c r="T437" i="4"/>
  <c r="S437" i="4"/>
  <c r="U437" i="4" s="1"/>
  <c r="T436" i="4"/>
  <c r="S436" i="4"/>
  <c r="T435" i="4"/>
  <c r="S435" i="4"/>
  <c r="U435" i="4" s="1"/>
  <c r="T434" i="4"/>
  <c r="S434" i="4"/>
  <c r="T433" i="4"/>
  <c r="S433" i="4"/>
  <c r="U433" i="4" s="1"/>
  <c r="T432" i="4"/>
  <c r="S432" i="4"/>
  <c r="U432" i="4" s="1"/>
  <c r="T431" i="4"/>
  <c r="S431" i="4"/>
  <c r="T430" i="4"/>
  <c r="S430" i="4"/>
  <c r="U430" i="4" s="1"/>
  <c r="T429" i="4"/>
  <c r="S429" i="4"/>
  <c r="T428" i="4"/>
  <c r="S428" i="4"/>
  <c r="U428" i="4" s="1"/>
  <c r="T427" i="4"/>
  <c r="S427" i="4"/>
  <c r="U427" i="4" s="1"/>
  <c r="T426" i="4"/>
  <c r="S426" i="4"/>
  <c r="T425" i="4"/>
  <c r="S425" i="4"/>
  <c r="U425" i="4" s="1"/>
  <c r="T424" i="4"/>
  <c r="S424" i="4"/>
  <c r="T423" i="4"/>
  <c r="S423" i="4"/>
  <c r="U423" i="4" s="1"/>
  <c r="T422" i="4"/>
  <c r="S422" i="4"/>
  <c r="U422" i="4" s="1"/>
  <c r="T421" i="4"/>
  <c r="S421" i="4"/>
  <c r="T420" i="4"/>
  <c r="S420" i="4"/>
  <c r="U420" i="4" s="1"/>
  <c r="T419" i="4"/>
  <c r="S419" i="4"/>
  <c r="T418" i="4"/>
  <c r="S418" i="4"/>
  <c r="U418" i="4" s="1"/>
  <c r="T417" i="4"/>
  <c r="S417" i="4"/>
  <c r="U417" i="4" s="1"/>
  <c r="T416" i="4"/>
  <c r="S416" i="4"/>
  <c r="T415" i="4"/>
  <c r="S415" i="4"/>
  <c r="U415" i="4" s="1"/>
  <c r="T414" i="4"/>
  <c r="S414" i="4"/>
  <c r="T413" i="4"/>
  <c r="S413" i="4"/>
  <c r="U413" i="4" s="1"/>
  <c r="T412" i="4"/>
  <c r="S412" i="4"/>
  <c r="U412" i="4" s="1"/>
  <c r="T411" i="4"/>
  <c r="S411" i="4"/>
  <c r="T410" i="4"/>
  <c r="S410" i="4"/>
  <c r="U410" i="4" s="1"/>
  <c r="T409" i="4"/>
  <c r="S409" i="4"/>
  <c r="T408" i="4"/>
  <c r="S408" i="4"/>
  <c r="U408" i="4" s="1"/>
  <c r="T407" i="4"/>
  <c r="S407" i="4"/>
  <c r="U407" i="4" s="1"/>
  <c r="T406" i="4"/>
  <c r="S406" i="4"/>
  <c r="T405" i="4"/>
  <c r="S405" i="4"/>
  <c r="U405" i="4" s="1"/>
  <c r="T404" i="4"/>
  <c r="S404" i="4"/>
  <c r="T403" i="4"/>
  <c r="S403" i="4"/>
  <c r="U403" i="4" s="1"/>
  <c r="T402" i="4"/>
  <c r="S402" i="4"/>
  <c r="U402" i="4" s="1"/>
  <c r="T401" i="4"/>
  <c r="S401" i="4"/>
  <c r="T400" i="4"/>
  <c r="S400" i="4"/>
  <c r="U400" i="4" s="1"/>
  <c r="T399" i="4"/>
  <c r="S399" i="4"/>
  <c r="T398" i="4"/>
  <c r="S398" i="4"/>
  <c r="U398" i="4" s="1"/>
  <c r="T397" i="4"/>
  <c r="S397" i="4"/>
  <c r="U397" i="4" s="1"/>
  <c r="T396" i="4"/>
  <c r="S396" i="4"/>
  <c r="T395" i="4"/>
  <c r="S395" i="4"/>
  <c r="U395" i="4" s="1"/>
  <c r="T394" i="4"/>
  <c r="S394" i="4"/>
  <c r="T393" i="4"/>
  <c r="S393" i="4"/>
  <c r="U393" i="4" s="1"/>
  <c r="T392" i="4"/>
  <c r="S392" i="4"/>
  <c r="U392" i="4" s="1"/>
  <c r="T391" i="4"/>
  <c r="S391" i="4"/>
  <c r="T390" i="4"/>
  <c r="S390" i="4"/>
  <c r="U390" i="4" s="1"/>
  <c r="T389" i="4"/>
  <c r="S389" i="4"/>
  <c r="T388" i="4"/>
  <c r="S388" i="4"/>
  <c r="U388" i="4" s="1"/>
  <c r="T387" i="4"/>
  <c r="S387" i="4"/>
  <c r="U387" i="4" s="1"/>
  <c r="T386" i="4"/>
  <c r="S386" i="4"/>
  <c r="T385" i="4"/>
  <c r="S385" i="4"/>
  <c r="U385" i="4" s="1"/>
  <c r="T384" i="4"/>
  <c r="S384" i="4"/>
  <c r="T383" i="4"/>
  <c r="S383" i="4"/>
  <c r="U383" i="4" s="1"/>
  <c r="T382" i="4"/>
  <c r="S382" i="4"/>
  <c r="U382" i="4" s="1"/>
  <c r="T381" i="4"/>
  <c r="S381" i="4"/>
  <c r="T380" i="4"/>
  <c r="S380" i="4"/>
  <c r="U380" i="4" s="1"/>
  <c r="T379" i="4"/>
  <c r="S379" i="4"/>
  <c r="T378" i="4"/>
  <c r="S378" i="4"/>
  <c r="U378" i="4" s="1"/>
  <c r="T377" i="4"/>
  <c r="S377" i="4"/>
  <c r="U377" i="4" s="1"/>
  <c r="T376" i="4"/>
  <c r="S376" i="4"/>
  <c r="T375" i="4"/>
  <c r="S375" i="4"/>
  <c r="U375" i="4" s="1"/>
  <c r="T374" i="4"/>
  <c r="S374" i="4"/>
  <c r="T373" i="4"/>
  <c r="S373" i="4"/>
  <c r="U373" i="4" s="1"/>
  <c r="T372" i="4"/>
  <c r="S372" i="4"/>
  <c r="U372" i="4" s="1"/>
  <c r="T371" i="4"/>
  <c r="S371" i="4"/>
  <c r="T370" i="4"/>
  <c r="S370" i="4"/>
  <c r="U370" i="4" s="1"/>
  <c r="T369" i="4"/>
  <c r="S369" i="4"/>
  <c r="T368" i="4"/>
  <c r="S368" i="4"/>
  <c r="U368" i="4" s="1"/>
  <c r="T367" i="4"/>
  <c r="S367" i="4"/>
  <c r="U367" i="4" s="1"/>
  <c r="T366" i="4"/>
  <c r="S366" i="4"/>
  <c r="T365" i="4"/>
  <c r="S365" i="4"/>
  <c r="U365" i="4" s="1"/>
  <c r="T364" i="4"/>
  <c r="S364" i="4"/>
  <c r="T363" i="4"/>
  <c r="S363" i="4"/>
  <c r="U363" i="4" s="1"/>
  <c r="T362" i="4"/>
  <c r="S362" i="4"/>
  <c r="U362" i="4" s="1"/>
  <c r="T361" i="4"/>
  <c r="S361" i="4"/>
  <c r="T360" i="4"/>
  <c r="S360" i="4"/>
  <c r="U360" i="4" s="1"/>
  <c r="T359" i="4"/>
  <c r="S359" i="4"/>
  <c r="T358" i="4"/>
  <c r="S358" i="4"/>
  <c r="U358" i="4" s="1"/>
  <c r="T357" i="4"/>
  <c r="S357" i="4"/>
  <c r="U357" i="4" s="1"/>
  <c r="T356" i="4"/>
  <c r="S356" i="4"/>
  <c r="T355" i="4"/>
  <c r="S355" i="4"/>
  <c r="U355" i="4" s="1"/>
  <c r="T354" i="4"/>
  <c r="S354" i="4"/>
  <c r="T353" i="4"/>
  <c r="S353" i="4"/>
  <c r="U353" i="4" s="1"/>
  <c r="T352" i="4"/>
  <c r="S352" i="4"/>
  <c r="U352" i="4" s="1"/>
  <c r="T351" i="4"/>
  <c r="S351" i="4"/>
  <c r="T350" i="4"/>
  <c r="S350" i="4"/>
  <c r="U350" i="4" s="1"/>
  <c r="T349" i="4"/>
  <c r="S349" i="4"/>
  <c r="T348" i="4"/>
  <c r="S348" i="4"/>
  <c r="U348" i="4" s="1"/>
  <c r="T347" i="4"/>
  <c r="S347" i="4"/>
  <c r="U347" i="4" s="1"/>
  <c r="T346" i="4"/>
  <c r="S346" i="4"/>
  <c r="T345" i="4"/>
  <c r="S345" i="4"/>
  <c r="U345" i="4" s="1"/>
  <c r="T344" i="4"/>
  <c r="S344" i="4"/>
  <c r="T343" i="4"/>
  <c r="S343" i="4"/>
  <c r="U343" i="4" s="1"/>
  <c r="T342" i="4"/>
  <c r="S342" i="4"/>
  <c r="U342" i="4" s="1"/>
  <c r="T341" i="4"/>
  <c r="S341" i="4"/>
  <c r="T340" i="4"/>
  <c r="S340" i="4"/>
  <c r="U340" i="4" s="1"/>
  <c r="T339" i="4"/>
  <c r="S339" i="4"/>
  <c r="T338" i="4"/>
  <c r="S338" i="4"/>
  <c r="U338" i="4" s="1"/>
  <c r="T337" i="4"/>
  <c r="S337" i="4"/>
  <c r="U337" i="4" s="1"/>
  <c r="T336" i="4"/>
  <c r="S336" i="4"/>
  <c r="T335" i="4"/>
  <c r="S335" i="4"/>
  <c r="U335" i="4" s="1"/>
  <c r="T334" i="4"/>
  <c r="S334" i="4"/>
  <c r="T333" i="4"/>
  <c r="S333" i="4"/>
  <c r="U333" i="4" s="1"/>
  <c r="T332" i="4"/>
  <c r="S332" i="4"/>
  <c r="U332" i="4" s="1"/>
  <c r="T331" i="4"/>
  <c r="S331" i="4"/>
  <c r="T330" i="4"/>
  <c r="S330" i="4"/>
  <c r="U330" i="4" s="1"/>
  <c r="T329" i="4"/>
  <c r="S329" i="4"/>
  <c r="T328" i="4"/>
  <c r="S328" i="4"/>
  <c r="U328" i="4" s="1"/>
  <c r="T327" i="4"/>
  <c r="S327" i="4"/>
  <c r="U327" i="4" s="1"/>
  <c r="T326" i="4"/>
  <c r="S326" i="4"/>
  <c r="T325" i="4"/>
  <c r="S325" i="4"/>
  <c r="U325" i="4" s="1"/>
  <c r="T324" i="4"/>
  <c r="S324" i="4"/>
  <c r="T323" i="4"/>
  <c r="S323" i="4"/>
  <c r="U323" i="4" s="1"/>
  <c r="T322" i="4"/>
  <c r="S322" i="4"/>
  <c r="U322" i="4" s="1"/>
  <c r="T321" i="4"/>
  <c r="S321" i="4"/>
  <c r="T320" i="4"/>
  <c r="S320" i="4"/>
  <c r="U320" i="4" s="1"/>
  <c r="T319" i="4"/>
  <c r="S319" i="4"/>
  <c r="T318" i="4"/>
  <c r="S318" i="4"/>
  <c r="U318" i="4" s="1"/>
  <c r="T317" i="4"/>
  <c r="S317" i="4"/>
  <c r="U317" i="4" s="1"/>
  <c r="T316" i="4"/>
  <c r="S316" i="4"/>
  <c r="T315" i="4"/>
  <c r="S315" i="4"/>
  <c r="U315" i="4" s="1"/>
  <c r="T314" i="4"/>
  <c r="S314" i="4"/>
  <c r="T313" i="4"/>
  <c r="S313" i="4"/>
  <c r="U313" i="4" s="1"/>
  <c r="T312" i="4"/>
  <c r="S312" i="4"/>
  <c r="U312" i="4" s="1"/>
  <c r="T311" i="4"/>
  <c r="S311" i="4"/>
  <c r="U311" i="4" s="1"/>
  <c r="T310" i="4"/>
  <c r="S310" i="4"/>
  <c r="U310" i="4" s="1"/>
  <c r="T309" i="4"/>
  <c r="S309" i="4"/>
  <c r="T308" i="4"/>
  <c r="S308" i="4"/>
  <c r="U308" i="4" s="1"/>
  <c r="T307" i="4"/>
  <c r="S307" i="4"/>
  <c r="U307" i="4" s="1"/>
  <c r="T306" i="4"/>
  <c r="S306" i="4"/>
  <c r="U306" i="4" s="1"/>
  <c r="T305" i="4"/>
  <c r="S305" i="4"/>
  <c r="U305" i="4" s="1"/>
  <c r="T304" i="4"/>
  <c r="S304" i="4"/>
  <c r="T303" i="4"/>
  <c r="S303" i="4"/>
  <c r="U303" i="4" s="1"/>
  <c r="T302" i="4"/>
  <c r="S302" i="4"/>
  <c r="U302" i="4" s="1"/>
  <c r="T301" i="4"/>
  <c r="S301" i="4"/>
  <c r="U301" i="4" s="1"/>
  <c r="T300" i="4"/>
  <c r="S300" i="4"/>
  <c r="U300" i="4" s="1"/>
  <c r="T299" i="4"/>
  <c r="S299" i="4"/>
  <c r="T298" i="4"/>
  <c r="S298" i="4"/>
  <c r="U298" i="4" s="1"/>
  <c r="T297" i="4"/>
  <c r="S297" i="4"/>
  <c r="U297" i="4" s="1"/>
  <c r="T296" i="4"/>
  <c r="S296" i="4"/>
  <c r="U296" i="4" s="1"/>
  <c r="T295" i="4"/>
  <c r="S295" i="4"/>
  <c r="U295" i="4" s="1"/>
  <c r="T294" i="4"/>
  <c r="S294" i="4"/>
  <c r="T293" i="4"/>
  <c r="S293" i="4"/>
  <c r="U293" i="4" s="1"/>
  <c r="T292" i="4"/>
  <c r="S292" i="4"/>
  <c r="U292" i="4" s="1"/>
  <c r="T291" i="4"/>
  <c r="S291" i="4"/>
  <c r="U291" i="4" s="1"/>
  <c r="T290" i="4"/>
  <c r="S290" i="4"/>
  <c r="U290" i="4" s="1"/>
  <c r="T289" i="4"/>
  <c r="S289" i="4"/>
  <c r="T288" i="4"/>
  <c r="S288" i="4"/>
  <c r="U288" i="4" s="1"/>
  <c r="T287" i="4"/>
  <c r="S287" i="4"/>
  <c r="U287" i="4" s="1"/>
  <c r="T286" i="4"/>
  <c r="S286" i="4"/>
  <c r="U286" i="4" s="1"/>
  <c r="T285" i="4"/>
  <c r="S285" i="4"/>
  <c r="U285" i="4" s="1"/>
  <c r="T284" i="4"/>
  <c r="S284" i="4"/>
  <c r="T283" i="4"/>
  <c r="S283" i="4"/>
  <c r="U283" i="4" s="1"/>
  <c r="T282" i="4"/>
  <c r="S282" i="4"/>
  <c r="U282" i="4" s="1"/>
  <c r="T281" i="4"/>
  <c r="S281" i="4"/>
  <c r="U281" i="4" s="1"/>
  <c r="T280" i="4"/>
  <c r="S280" i="4"/>
  <c r="U280" i="4" s="1"/>
  <c r="T279" i="4"/>
  <c r="S279" i="4"/>
  <c r="T278" i="4"/>
  <c r="S278" i="4"/>
  <c r="U278" i="4" s="1"/>
  <c r="T277" i="4"/>
  <c r="S277" i="4"/>
  <c r="U277" i="4" s="1"/>
  <c r="T276" i="4"/>
  <c r="S276" i="4"/>
  <c r="U276" i="4" s="1"/>
  <c r="T275" i="4"/>
  <c r="S275" i="4"/>
  <c r="U275" i="4" s="1"/>
  <c r="T274" i="4"/>
  <c r="S274" i="4"/>
  <c r="T273" i="4"/>
  <c r="S273" i="4"/>
  <c r="U273" i="4" s="1"/>
  <c r="T272" i="4"/>
  <c r="S272" i="4"/>
  <c r="U272" i="4" s="1"/>
  <c r="T271" i="4"/>
  <c r="S271" i="4"/>
  <c r="U271" i="4" s="1"/>
  <c r="T270" i="4"/>
  <c r="S270" i="4"/>
  <c r="U270" i="4" s="1"/>
  <c r="T269" i="4"/>
  <c r="S269" i="4"/>
  <c r="T268" i="4"/>
  <c r="S268" i="4"/>
  <c r="U268" i="4" s="1"/>
  <c r="T267" i="4"/>
  <c r="S267" i="4"/>
  <c r="U267" i="4" s="1"/>
  <c r="T266" i="4"/>
  <c r="S266" i="4"/>
  <c r="U266" i="4" s="1"/>
  <c r="T265" i="4"/>
  <c r="S265" i="4"/>
  <c r="U265" i="4" s="1"/>
  <c r="T264" i="4"/>
  <c r="S264" i="4"/>
  <c r="T263" i="4"/>
  <c r="S263" i="4"/>
  <c r="U263" i="4" s="1"/>
  <c r="T262" i="4"/>
  <c r="S262" i="4"/>
  <c r="U262" i="4" s="1"/>
  <c r="T261" i="4"/>
  <c r="S261" i="4"/>
  <c r="U261" i="4" s="1"/>
  <c r="T260" i="4"/>
  <c r="S260" i="4"/>
  <c r="U260" i="4" s="1"/>
  <c r="T259" i="4"/>
  <c r="S259" i="4"/>
  <c r="T258" i="4"/>
  <c r="S258" i="4"/>
  <c r="U258" i="4" s="1"/>
  <c r="T257" i="4"/>
  <c r="S257" i="4"/>
  <c r="U257" i="4" s="1"/>
  <c r="T256" i="4"/>
  <c r="S256" i="4"/>
  <c r="U256" i="4" s="1"/>
  <c r="T255" i="4"/>
  <c r="S255" i="4"/>
  <c r="U255" i="4" s="1"/>
  <c r="T254" i="4"/>
  <c r="S254" i="4"/>
  <c r="T253" i="4"/>
  <c r="S253" i="4"/>
  <c r="U253" i="4" s="1"/>
  <c r="T252" i="4"/>
  <c r="S252" i="4"/>
  <c r="U252" i="4" s="1"/>
  <c r="T251" i="4"/>
  <c r="S251" i="4"/>
  <c r="U251" i="4" s="1"/>
  <c r="T250" i="4"/>
  <c r="S250" i="4"/>
  <c r="U250" i="4" s="1"/>
  <c r="T249" i="4"/>
  <c r="S249" i="4"/>
  <c r="T248" i="4"/>
  <c r="S248" i="4"/>
  <c r="U248" i="4" s="1"/>
  <c r="T247" i="4"/>
  <c r="S247" i="4"/>
  <c r="U247" i="4" s="1"/>
  <c r="T246" i="4"/>
  <c r="S246" i="4"/>
  <c r="U246" i="4" s="1"/>
  <c r="T245" i="4"/>
  <c r="S245" i="4"/>
  <c r="U245" i="4" s="1"/>
  <c r="T244" i="4"/>
  <c r="S244" i="4"/>
  <c r="T243" i="4"/>
  <c r="S243" i="4"/>
  <c r="U243" i="4" s="1"/>
  <c r="T242" i="4"/>
  <c r="S242" i="4"/>
  <c r="U242" i="4" s="1"/>
  <c r="T241" i="4"/>
  <c r="S241" i="4"/>
  <c r="U241" i="4" s="1"/>
  <c r="T240" i="4"/>
  <c r="S240" i="4"/>
  <c r="U240" i="4" s="1"/>
  <c r="T239" i="4"/>
  <c r="S239" i="4"/>
  <c r="T238" i="4"/>
  <c r="S238" i="4"/>
  <c r="U238" i="4" s="1"/>
  <c r="T237" i="4"/>
  <c r="S237" i="4"/>
  <c r="U237" i="4" s="1"/>
  <c r="T236" i="4"/>
  <c r="S236" i="4"/>
  <c r="U236" i="4" s="1"/>
  <c r="T235" i="4"/>
  <c r="S235" i="4"/>
  <c r="U235" i="4" s="1"/>
  <c r="T234" i="4"/>
  <c r="S234" i="4"/>
  <c r="T233" i="4"/>
  <c r="S233" i="4"/>
  <c r="U233" i="4" s="1"/>
  <c r="T232" i="4"/>
  <c r="S232" i="4"/>
  <c r="U232" i="4" s="1"/>
  <c r="T231" i="4"/>
  <c r="S231" i="4"/>
  <c r="U231" i="4" s="1"/>
  <c r="T230" i="4"/>
  <c r="S230" i="4"/>
  <c r="U230" i="4" s="1"/>
  <c r="T229" i="4"/>
  <c r="S229" i="4"/>
  <c r="T228" i="4"/>
  <c r="S228" i="4"/>
  <c r="U228" i="4" s="1"/>
  <c r="T227" i="4"/>
  <c r="S227" i="4"/>
  <c r="U227" i="4" s="1"/>
  <c r="T226" i="4"/>
  <c r="S226" i="4"/>
  <c r="U226" i="4" s="1"/>
  <c r="T225" i="4"/>
  <c r="S225" i="4"/>
  <c r="U225" i="4" s="1"/>
  <c r="T224" i="4"/>
  <c r="S224" i="4"/>
  <c r="T223" i="4"/>
  <c r="S223" i="4"/>
  <c r="U223" i="4" s="1"/>
  <c r="T222" i="4"/>
  <c r="S222" i="4"/>
  <c r="U222" i="4" s="1"/>
  <c r="T221" i="4"/>
  <c r="S221" i="4"/>
  <c r="U221" i="4" s="1"/>
  <c r="T220" i="4"/>
  <c r="S220" i="4"/>
  <c r="U220" i="4" s="1"/>
  <c r="T219" i="4"/>
  <c r="S219" i="4"/>
  <c r="T218" i="4"/>
  <c r="S218" i="4"/>
  <c r="U218" i="4" s="1"/>
  <c r="T217" i="4"/>
  <c r="S217" i="4"/>
  <c r="U217" i="4" s="1"/>
  <c r="T216" i="4"/>
  <c r="S216" i="4"/>
  <c r="U216" i="4" s="1"/>
  <c r="T215" i="4"/>
  <c r="S215" i="4"/>
  <c r="U215" i="4" s="1"/>
  <c r="T214" i="4"/>
  <c r="S214" i="4"/>
  <c r="T213" i="4"/>
  <c r="S213" i="4"/>
  <c r="U213" i="4" s="1"/>
  <c r="T212" i="4"/>
  <c r="S212" i="4"/>
  <c r="U212" i="4" s="1"/>
  <c r="T211" i="4"/>
  <c r="S211" i="4"/>
  <c r="U211" i="4" s="1"/>
  <c r="T210" i="4"/>
  <c r="S210" i="4"/>
  <c r="U210" i="4" s="1"/>
  <c r="T209" i="4"/>
  <c r="S209" i="4"/>
  <c r="T208" i="4"/>
  <c r="S208" i="4"/>
  <c r="U208" i="4" s="1"/>
  <c r="T207" i="4"/>
  <c r="S207" i="4"/>
  <c r="U207" i="4" s="1"/>
  <c r="T206" i="4"/>
  <c r="S206" i="4"/>
  <c r="U206" i="4" s="1"/>
  <c r="T205" i="4"/>
  <c r="S205" i="4"/>
  <c r="U205" i="4" s="1"/>
  <c r="T204" i="4"/>
  <c r="S204" i="4"/>
  <c r="T203" i="4"/>
  <c r="S203" i="4"/>
  <c r="U203" i="4" s="1"/>
  <c r="T202" i="4"/>
  <c r="S202" i="4"/>
  <c r="U202" i="4" s="1"/>
  <c r="T201" i="4"/>
  <c r="S201" i="4"/>
  <c r="U201" i="4" s="1"/>
  <c r="T200" i="4"/>
  <c r="S200" i="4"/>
  <c r="U200" i="4" s="1"/>
  <c r="T199" i="4"/>
  <c r="S199" i="4"/>
  <c r="T198" i="4"/>
  <c r="S198" i="4"/>
  <c r="U198" i="4" s="1"/>
  <c r="T197" i="4"/>
  <c r="S197" i="4"/>
  <c r="U197" i="4" s="1"/>
  <c r="T196" i="4"/>
  <c r="S196" i="4"/>
  <c r="U196" i="4" s="1"/>
  <c r="T195" i="4"/>
  <c r="S195" i="4"/>
  <c r="U195" i="4" s="1"/>
  <c r="T194" i="4"/>
  <c r="S194" i="4"/>
  <c r="T193" i="4"/>
  <c r="S193" i="4"/>
  <c r="U193" i="4" s="1"/>
  <c r="T192" i="4"/>
  <c r="S192" i="4"/>
  <c r="U192" i="4" s="1"/>
  <c r="T191" i="4"/>
  <c r="S191" i="4"/>
  <c r="U191" i="4" s="1"/>
  <c r="T190" i="4"/>
  <c r="S190" i="4"/>
  <c r="U190" i="4" s="1"/>
  <c r="T189" i="4"/>
  <c r="S189" i="4"/>
  <c r="T188" i="4"/>
  <c r="S188" i="4"/>
  <c r="U188" i="4" s="1"/>
  <c r="T187" i="4"/>
  <c r="S187" i="4"/>
  <c r="U187" i="4" s="1"/>
  <c r="T186" i="4"/>
  <c r="S186" i="4"/>
  <c r="U186" i="4" s="1"/>
  <c r="T185" i="4"/>
  <c r="S185" i="4"/>
  <c r="U185" i="4" s="1"/>
  <c r="T184" i="4"/>
  <c r="S184" i="4"/>
  <c r="T183" i="4"/>
  <c r="S183" i="4"/>
  <c r="U183" i="4" s="1"/>
  <c r="T182" i="4"/>
  <c r="S182" i="4"/>
  <c r="U182" i="4" s="1"/>
  <c r="T181" i="4"/>
  <c r="S181" i="4"/>
  <c r="U181" i="4" s="1"/>
  <c r="T180" i="4"/>
  <c r="S180" i="4"/>
  <c r="U180" i="4" s="1"/>
  <c r="T179" i="4"/>
  <c r="S179" i="4"/>
  <c r="T178" i="4"/>
  <c r="S178" i="4"/>
  <c r="U178" i="4" s="1"/>
  <c r="T177" i="4"/>
  <c r="S177" i="4"/>
  <c r="U177" i="4" s="1"/>
  <c r="T176" i="4"/>
  <c r="S176" i="4"/>
  <c r="U176" i="4" s="1"/>
  <c r="T175" i="4"/>
  <c r="S175" i="4"/>
  <c r="U175" i="4" s="1"/>
  <c r="T174" i="4"/>
  <c r="S174" i="4"/>
  <c r="T173" i="4"/>
  <c r="S173" i="4"/>
  <c r="U173" i="4" s="1"/>
  <c r="T172" i="4"/>
  <c r="S172" i="4"/>
  <c r="U172" i="4" s="1"/>
  <c r="T171" i="4"/>
  <c r="S171" i="4"/>
  <c r="U171" i="4" s="1"/>
  <c r="T170" i="4"/>
  <c r="S170" i="4"/>
  <c r="U170" i="4" s="1"/>
  <c r="T169" i="4"/>
  <c r="S169" i="4"/>
  <c r="T168" i="4"/>
  <c r="S168" i="4"/>
  <c r="U168" i="4" s="1"/>
  <c r="T167" i="4"/>
  <c r="S167" i="4"/>
  <c r="U167" i="4" s="1"/>
  <c r="T166" i="4"/>
  <c r="S166" i="4"/>
  <c r="U166" i="4" s="1"/>
  <c r="T165" i="4"/>
  <c r="S165" i="4"/>
  <c r="U165" i="4" s="1"/>
  <c r="T164" i="4"/>
  <c r="S164" i="4"/>
  <c r="T163" i="4"/>
  <c r="S163" i="4"/>
  <c r="U163" i="4" s="1"/>
  <c r="T162" i="4"/>
  <c r="S162" i="4"/>
  <c r="U162" i="4" s="1"/>
  <c r="T161" i="4"/>
  <c r="S161" i="4"/>
  <c r="U161" i="4" s="1"/>
  <c r="T160" i="4"/>
  <c r="S160" i="4"/>
  <c r="U160" i="4" s="1"/>
  <c r="T159" i="4"/>
  <c r="S159" i="4"/>
  <c r="T158" i="4"/>
  <c r="S158" i="4"/>
  <c r="U158" i="4" s="1"/>
  <c r="T157" i="4"/>
  <c r="S157" i="4"/>
  <c r="U157" i="4" s="1"/>
  <c r="T156" i="4"/>
  <c r="S156" i="4"/>
  <c r="U156" i="4" s="1"/>
  <c r="T155" i="4"/>
  <c r="S155" i="4"/>
  <c r="U155" i="4" s="1"/>
  <c r="T154" i="4"/>
  <c r="S154" i="4"/>
  <c r="T153" i="4"/>
  <c r="S153" i="4"/>
  <c r="U153" i="4" s="1"/>
  <c r="T152" i="4"/>
  <c r="S152" i="4"/>
  <c r="U152" i="4" s="1"/>
  <c r="T151" i="4"/>
  <c r="S151" i="4"/>
  <c r="U151" i="4" s="1"/>
  <c r="T150" i="4"/>
  <c r="S150" i="4"/>
  <c r="U150" i="4" s="1"/>
  <c r="T149" i="4"/>
  <c r="S149" i="4"/>
  <c r="T148" i="4"/>
  <c r="S148" i="4"/>
  <c r="U148" i="4" s="1"/>
  <c r="T147" i="4"/>
  <c r="S147" i="4"/>
  <c r="U147" i="4" s="1"/>
  <c r="T146" i="4"/>
  <c r="S146" i="4"/>
  <c r="U146" i="4" s="1"/>
  <c r="T145" i="4"/>
  <c r="S145" i="4"/>
  <c r="U145" i="4" s="1"/>
  <c r="T144" i="4"/>
  <c r="S144" i="4"/>
  <c r="T143" i="4"/>
  <c r="S143" i="4"/>
  <c r="U143" i="4" s="1"/>
  <c r="T142" i="4"/>
  <c r="S142" i="4"/>
  <c r="U142" i="4" s="1"/>
  <c r="T141" i="4"/>
  <c r="S141" i="4"/>
  <c r="U141" i="4" s="1"/>
  <c r="T140" i="4"/>
  <c r="S140" i="4"/>
  <c r="U140" i="4" s="1"/>
  <c r="T139" i="4"/>
  <c r="S139" i="4"/>
  <c r="T138" i="4"/>
  <c r="S138" i="4"/>
  <c r="U138" i="4" s="1"/>
  <c r="T137" i="4"/>
  <c r="S137" i="4"/>
  <c r="U137" i="4" s="1"/>
  <c r="T136" i="4"/>
  <c r="S136" i="4"/>
  <c r="U136" i="4" s="1"/>
  <c r="T135" i="4"/>
  <c r="S135" i="4"/>
  <c r="U135" i="4" s="1"/>
  <c r="T134" i="4"/>
  <c r="S134" i="4"/>
  <c r="T133" i="4"/>
  <c r="S133" i="4"/>
  <c r="U133" i="4" s="1"/>
  <c r="T132" i="4"/>
  <c r="S132" i="4"/>
  <c r="U132" i="4" s="1"/>
  <c r="T131" i="4"/>
  <c r="S131" i="4"/>
  <c r="U131" i="4" s="1"/>
  <c r="T130" i="4"/>
  <c r="S130" i="4"/>
  <c r="U130" i="4" s="1"/>
  <c r="T129" i="4"/>
  <c r="S129" i="4"/>
  <c r="T128" i="4"/>
  <c r="S128" i="4"/>
  <c r="U128" i="4" s="1"/>
  <c r="T127" i="4"/>
  <c r="S127" i="4"/>
  <c r="U127" i="4" s="1"/>
  <c r="T126" i="4"/>
  <c r="S126" i="4"/>
  <c r="U126" i="4" s="1"/>
  <c r="T125" i="4"/>
  <c r="S125" i="4"/>
  <c r="U125" i="4" s="1"/>
  <c r="T124" i="4"/>
  <c r="S124" i="4"/>
  <c r="T123" i="4"/>
  <c r="S123" i="4"/>
  <c r="U123" i="4" s="1"/>
  <c r="T122" i="4"/>
  <c r="S122" i="4"/>
  <c r="U122" i="4" s="1"/>
  <c r="T121" i="4"/>
  <c r="S121" i="4"/>
  <c r="U121" i="4" s="1"/>
  <c r="T120" i="4"/>
  <c r="S120" i="4"/>
  <c r="U120" i="4" s="1"/>
  <c r="T119" i="4"/>
  <c r="S119" i="4"/>
  <c r="T118" i="4"/>
  <c r="S118" i="4"/>
  <c r="U118" i="4" s="1"/>
  <c r="T117" i="4"/>
  <c r="S117" i="4"/>
  <c r="U117" i="4" s="1"/>
  <c r="T116" i="4"/>
  <c r="S116" i="4"/>
  <c r="U116" i="4" s="1"/>
  <c r="T115" i="4"/>
  <c r="S115" i="4"/>
  <c r="U115" i="4" s="1"/>
  <c r="T114" i="4"/>
  <c r="S114" i="4"/>
  <c r="T113" i="4"/>
  <c r="S113" i="4"/>
  <c r="U113" i="4" s="1"/>
  <c r="T112" i="4"/>
  <c r="S112" i="4"/>
  <c r="U112" i="4" s="1"/>
  <c r="T111" i="4"/>
  <c r="S111" i="4"/>
  <c r="U111" i="4" s="1"/>
  <c r="T110" i="4"/>
  <c r="S110" i="4"/>
  <c r="U110" i="4" s="1"/>
  <c r="T109" i="4"/>
  <c r="S109" i="4"/>
  <c r="T108" i="4"/>
  <c r="S108" i="4"/>
  <c r="U108" i="4" s="1"/>
  <c r="T107" i="4"/>
  <c r="S107" i="4"/>
  <c r="U107" i="4" s="1"/>
  <c r="T106" i="4"/>
  <c r="S106" i="4"/>
  <c r="U106" i="4" s="1"/>
  <c r="T105" i="4"/>
  <c r="S105" i="4"/>
  <c r="U105" i="4" s="1"/>
  <c r="T104" i="4"/>
  <c r="S104" i="4"/>
  <c r="T103" i="4"/>
  <c r="S103" i="4"/>
  <c r="U103" i="4" s="1"/>
  <c r="T102" i="4"/>
  <c r="S102" i="4"/>
  <c r="U102" i="4" s="1"/>
  <c r="T101" i="4"/>
  <c r="S101" i="4"/>
  <c r="U101" i="4" s="1"/>
  <c r="T100" i="4"/>
  <c r="S100" i="4"/>
  <c r="U100" i="4" s="1"/>
  <c r="T99" i="4"/>
  <c r="S99" i="4"/>
  <c r="T98" i="4"/>
  <c r="S98" i="4"/>
  <c r="U98" i="4" s="1"/>
  <c r="T97" i="4"/>
  <c r="S97" i="4"/>
  <c r="U97" i="4" s="1"/>
  <c r="T96" i="4"/>
  <c r="S96" i="4"/>
  <c r="U96" i="4" s="1"/>
  <c r="T95" i="4"/>
  <c r="S95" i="4"/>
  <c r="U95" i="4" s="1"/>
  <c r="T94" i="4"/>
  <c r="S94" i="4"/>
  <c r="T93" i="4"/>
  <c r="S93" i="4"/>
  <c r="U93" i="4" s="1"/>
  <c r="T92" i="4"/>
  <c r="S92" i="4"/>
  <c r="U92" i="4" s="1"/>
  <c r="T91" i="4"/>
  <c r="S91" i="4"/>
  <c r="U91" i="4" s="1"/>
  <c r="T90" i="4"/>
  <c r="S90" i="4"/>
  <c r="U90" i="4" s="1"/>
  <c r="T89" i="4"/>
  <c r="S89" i="4"/>
  <c r="T88" i="4"/>
  <c r="S88" i="4"/>
  <c r="U88" i="4" s="1"/>
  <c r="T87" i="4"/>
  <c r="S87" i="4"/>
  <c r="U87" i="4" s="1"/>
  <c r="T86" i="4"/>
  <c r="S86" i="4"/>
  <c r="U86" i="4" s="1"/>
  <c r="T85" i="4"/>
  <c r="S85" i="4"/>
  <c r="U85" i="4" s="1"/>
  <c r="T84" i="4"/>
  <c r="S84" i="4"/>
  <c r="T83" i="4"/>
  <c r="S83" i="4"/>
  <c r="U83" i="4" s="1"/>
  <c r="T82" i="4"/>
  <c r="S82" i="4"/>
  <c r="U82" i="4" s="1"/>
  <c r="T81" i="4"/>
  <c r="S81" i="4"/>
  <c r="U81" i="4" s="1"/>
  <c r="T80" i="4"/>
  <c r="S80" i="4"/>
  <c r="U80" i="4" s="1"/>
  <c r="T79" i="4"/>
  <c r="S79" i="4"/>
  <c r="T78" i="4"/>
  <c r="S78" i="4"/>
  <c r="U78" i="4" s="1"/>
  <c r="T77" i="4"/>
  <c r="S77" i="4"/>
  <c r="U77" i="4" s="1"/>
  <c r="T76" i="4"/>
  <c r="S76" i="4"/>
  <c r="U76" i="4" s="1"/>
  <c r="T75" i="4"/>
  <c r="S75" i="4"/>
  <c r="U75" i="4" s="1"/>
  <c r="T74" i="4"/>
  <c r="S74" i="4"/>
  <c r="T73" i="4"/>
  <c r="S73" i="4"/>
  <c r="U73" i="4" s="1"/>
  <c r="T72" i="4"/>
  <c r="S72" i="4"/>
  <c r="U72" i="4" s="1"/>
  <c r="T71" i="4"/>
  <c r="S71" i="4"/>
  <c r="U71" i="4" s="1"/>
  <c r="T70" i="4"/>
  <c r="S70" i="4"/>
  <c r="U70" i="4" s="1"/>
  <c r="T69" i="4"/>
  <c r="S69" i="4"/>
  <c r="T68" i="4"/>
  <c r="S68" i="4"/>
  <c r="U68" i="4" s="1"/>
  <c r="T67" i="4"/>
  <c r="S67" i="4"/>
  <c r="U67" i="4" s="1"/>
  <c r="T66" i="4"/>
  <c r="S66" i="4"/>
  <c r="U66" i="4" s="1"/>
  <c r="T65" i="4"/>
  <c r="S65" i="4"/>
  <c r="U65" i="4" s="1"/>
  <c r="T64" i="4"/>
  <c r="S64" i="4"/>
  <c r="T63" i="4"/>
  <c r="S63" i="4"/>
  <c r="U63" i="4" s="1"/>
  <c r="T62" i="4"/>
  <c r="S62" i="4"/>
  <c r="U62" i="4" s="1"/>
  <c r="T61" i="4"/>
  <c r="S61" i="4"/>
  <c r="U61" i="4" s="1"/>
  <c r="T60" i="4"/>
  <c r="S60" i="4"/>
  <c r="U60" i="4" s="1"/>
  <c r="T59" i="4"/>
  <c r="S59" i="4"/>
  <c r="T58" i="4"/>
  <c r="S58" i="4"/>
  <c r="U58" i="4" s="1"/>
  <c r="T57" i="4"/>
  <c r="S57" i="4"/>
  <c r="U57" i="4" s="1"/>
  <c r="T56" i="4"/>
  <c r="S56" i="4"/>
  <c r="U56" i="4" s="1"/>
  <c r="T55" i="4"/>
  <c r="S55" i="4"/>
  <c r="U55" i="4" s="1"/>
  <c r="T54" i="4"/>
  <c r="S54" i="4"/>
  <c r="T53" i="4"/>
  <c r="S53" i="4"/>
  <c r="U53" i="4" s="1"/>
  <c r="T52" i="4"/>
  <c r="S52" i="4"/>
  <c r="U52" i="4" s="1"/>
  <c r="T51" i="4"/>
  <c r="S51" i="4"/>
  <c r="U51" i="4" s="1"/>
  <c r="T50" i="4"/>
  <c r="S50" i="4"/>
  <c r="U50" i="4" s="1"/>
  <c r="T49" i="4"/>
  <c r="S49" i="4"/>
  <c r="T48" i="4"/>
  <c r="S48" i="4"/>
  <c r="U48" i="4" s="1"/>
  <c r="T47" i="4"/>
  <c r="S47" i="4"/>
  <c r="U47" i="4" s="1"/>
  <c r="T46" i="4"/>
  <c r="S46" i="4"/>
  <c r="U46" i="4" s="1"/>
  <c r="T45" i="4"/>
  <c r="S45" i="4"/>
  <c r="U45" i="4" s="1"/>
  <c r="T44" i="4"/>
  <c r="S44" i="4"/>
  <c r="T43" i="4"/>
  <c r="S43" i="4"/>
  <c r="U43" i="4" s="1"/>
  <c r="T42" i="4"/>
  <c r="S42" i="4"/>
  <c r="U42" i="4" s="1"/>
  <c r="T41" i="4"/>
  <c r="S41" i="4"/>
  <c r="U41" i="4" s="1"/>
  <c r="T40" i="4"/>
  <c r="S40" i="4"/>
  <c r="U40" i="4" s="1"/>
  <c r="T39" i="4"/>
  <c r="S39" i="4"/>
  <c r="T38" i="4"/>
  <c r="S38" i="4"/>
  <c r="U38" i="4" s="1"/>
  <c r="T37" i="4"/>
  <c r="S37" i="4"/>
  <c r="U37" i="4" s="1"/>
  <c r="T36" i="4"/>
  <c r="S36" i="4"/>
  <c r="U36" i="4" s="1"/>
  <c r="T35" i="4"/>
  <c r="S35" i="4"/>
  <c r="U35" i="4" s="1"/>
  <c r="T34" i="4"/>
  <c r="S34" i="4"/>
  <c r="T33" i="4"/>
  <c r="S33" i="4"/>
  <c r="U33" i="4" s="1"/>
  <c r="T32" i="4"/>
  <c r="S32" i="4"/>
  <c r="U32" i="4" s="1"/>
  <c r="T31" i="4"/>
  <c r="S31" i="4"/>
  <c r="U31" i="4" s="1"/>
  <c r="T30" i="4"/>
  <c r="S30" i="4"/>
  <c r="U30" i="4" s="1"/>
  <c r="T29" i="4"/>
  <c r="S29" i="4"/>
  <c r="T28" i="4"/>
  <c r="S28" i="4"/>
  <c r="U28" i="4" s="1"/>
  <c r="T27" i="4"/>
  <c r="S27" i="4"/>
  <c r="U27" i="4" s="1"/>
  <c r="T26" i="4"/>
  <c r="S26" i="4"/>
  <c r="U26" i="4" s="1"/>
  <c r="T25" i="4"/>
  <c r="S25" i="4"/>
  <c r="U25" i="4" s="1"/>
  <c r="T24" i="4"/>
  <c r="S24" i="4"/>
  <c r="T23" i="4"/>
  <c r="S23" i="4"/>
  <c r="U23" i="4" s="1"/>
  <c r="T22" i="4"/>
  <c r="S22" i="4"/>
  <c r="U22" i="4" s="1"/>
  <c r="T21" i="4"/>
  <c r="S21" i="4"/>
  <c r="U21" i="4" s="1"/>
  <c r="T20" i="4"/>
  <c r="S20" i="4"/>
  <c r="U20" i="4" s="1"/>
  <c r="T19" i="4"/>
  <c r="S19" i="4"/>
  <c r="T18" i="4"/>
  <c r="S18" i="4"/>
  <c r="U18" i="4" s="1"/>
  <c r="T17" i="4"/>
  <c r="S17" i="4"/>
  <c r="U17" i="4" s="1"/>
  <c r="T16" i="4"/>
  <c r="S16" i="4"/>
  <c r="U16" i="4" s="1"/>
  <c r="T15" i="4"/>
  <c r="S15" i="4"/>
  <c r="U15" i="4" s="1"/>
  <c r="T14" i="4"/>
  <c r="S14" i="4"/>
  <c r="T13" i="4"/>
  <c r="S13" i="4"/>
  <c r="U13" i="4" s="1"/>
  <c r="T12" i="4"/>
  <c r="S12" i="4"/>
  <c r="U12" i="4" s="1"/>
  <c r="T11" i="4"/>
  <c r="S11" i="4"/>
  <c r="U11" i="4" s="1"/>
  <c r="T10" i="4"/>
  <c r="S10" i="4"/>
  <c r="U10" i="4" s="1"/>
  <c r="T9" i="4"/>
  <c r="S9" i="4"/>
  <c r="T8" i="4"/>
  <c r="S8" i="4"/>
  <c r="U8" i="4" s="1"/>
  <c r="T7" i="4"/>
  <c r="S7" i="4"/>
  <c r="U7" i="4" s="1"/>
  <c r="T6" i="4"/>
  <c r="S6" i="4"/>
  <c r="U6" i="4" s="1"/>
  <c r="T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" i="4"/>
  <c r="A26" i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U9" i="4" l="1"/>
  <c r="U14" i="4"/>
  <c r="U19" i="4"/>
  <c r="U24" i="4"/>
  <c r="U29" i="4"/>
  <c r="Y29" i="4" s="1"/>
  <c r="U34" i="4"/>
  <c r="U39" i="4"/>
  <c r="Y39" i="4" s="1"/>
  <c r="U44" i="4"/>
  <c r="U49" i="4"/>
  <c r="U54" i="4"/>
  <c r="U59" i="4"/>
  <c r="U64" i="4"/>
  <c r="U69" i="4"/>
  <c r="U74" i="4"/>
  <c r="U79" i="4"/>
  <c r="Y79" i="4" s="1"/>
  <c r="U84" i="4"/>
  <c r="Y84" i="4" s="1"/>
  <c r="U89" i="4"/>
  <c r="Y89" i="4" s="1"/>
  <c r="C6" i="5"/>
  <c r="U316" i="4"/>
  <c r="U321" i="4"/>
  <c r="Y321" i="4" s="1"/>
  <c r="U326" i="4"/>
  <c r="U331" i="4"/>
  <c r="U336" i="4"/>
  <c r="U341" i="4"/>
  <c r="U346" i="4"/>
  <c r="Y346" i="4" s="1"/>
  <c r="U351" i="4"/>
  <c r="U94" i="4"/>
  <c r="U99" i="4"/>
  <c r="U104" i="4"/>
  <c r="U109" i="4"/>
  <c r="Y109" i="4" s="1"/>
  <c r="U114" i="4"/>
  <c r="U119" i="4"/>
  <c r="U124" i="4"/>
  <c r="U129" i="4"/>
  <c r="Y129" i="4" s="1"/>
  <c r="U134" i="4"/>
  <c r="U139" i="4"/>
  <c r="U144" i="4"/>
  <c r="U149" i="4"/>
  <c r="Y149" i="4" s="1"/>
  <c r="U154" i="4"/>
  <c r="U159" i="4"/>
  <c r="Y159" i="4" s="1"/>
  <c r="U164" i="4"/>
  <c r="U169" i="4"/>
  <c r="U174" i="4"/>
  <c r="U179" i="4"/>
  <c r="Y179" i="4" s="1"/>
  <c r="U184" i="4"/>
  <c r="Y184" i="4" s="1"/>
  <c r="U189" i="4"/>
  <c r="Y189" i="4" s="1"/>
  <c r="U194" i="4"/>
  <c r="U199" i="4"/>
  <c r="Y199" i="4" s="1"/>
  <c r="U204" i="4"/>
  <c r="U209" i="4"/>
  <c r="Y209" i="4" s="1"/>
  <c r="U214" i="4"/>
  <c r="U219" i="4"/>
  <c r="U224" i="4"/>
  <c r="U229" i="4"/>
  <c r="U234" i="4"/>
  <c r="U239" i="4"/>
  <c r="U244" i="4"/>
  <c r="U249" i="4"/>
  <c r="Y249" i="4" s="1"/>
  <c r="U254" i="4"/>
  <c r="U259" i="4"/>
  <c r="Y259" i="4" s="1"/>
  <c r="U264" i="4"/>
  <c r="U269" i="4"/>
  <c r="U274" i="4"/>
  <c r="U279" i="4"/>
  <c r="U284" i="4"/>
  <c r="U289" i="4"/>
  <c r="Y289" i="4" s="1"/>
  <c r="U294" i="4"/>
  <c r="U299" i="4"/>
  <c r="Y299" i="4" s="1"/>
  <c r="U304" i="4"/>
  <c r="U309" i="4"/>
  <c r="Y309" i="4" s="1"/>
  <c r="U314" i="4"/>
  <c r="U319" i="4"/>
  <c r="U324" i="4"/>
  <c r="U329" i="4"/>
  <c r="Y329" i="4" s="1"/>
  <c r="U334" i="4"/>
  <c r="U339" i="4"/>
  <c r="Y339" i="4" s="1"/>
  <c r="U344" i="4"/>
  <c r="U349" i="4"/>
  <c r="Y349" i="4" s="1"/>
  <c r="U354" i="4"/>
  <c r="U359" i="4"/>
  <c r="U364" i="4"/>
  <c r="U369" i="4"/>
  <c r="U374" i="4"/>
  <c r="U379" i="4"/>
  <c r="U384" i="4"/>
  <c r="Y384" i="4" s="1"/>
  <c r="U389" i="4"/>
  <c r="Y389" i="4" s="1"/>
  <c r="U394" i="4"/>
  <c r="U399" i="4"/>
  <c r="Y399" i="4" s="1"/>
  <c r="U404" i="4"/>
  <c r="U409" i="4"/>
  <c r="U414" i="4"/>
  <c r="U419" i="4"/>
  <c r="U424" i="4"/>
  <c r="U429" i="4"/>
  <c r="Y429" i="4" s="1"/>
  <c r="U434" i="4"/>
  <c r="U439" i="4"/>
  <c r="Y439" i="4" s="1"/>
  <c r="U444" i="4"/>
  <c r="U449" i="4"/>
  <c r="Y449" i="4" s="1"/>
  <c r="U454" i="4"/>
  <c r="U459" i="4"/>
  <c r="U464" i="4"/>
  <c r="U469" i="4"/>
  <c r="U474" i="4"/>
  <c r="U479" i="4"/>
  <c r="Y479" i="4" s="1"/>
  <c r="U484" i="4"/>
  <c r="Y484" i="4" s="1"/>
  <c r="U489" i="4"/>
  <c r="U494" i="4"/>
  <c r="U499" i="4"/>
  <c r="Y499" i="4" s="1"/>
  <c r="X504" i="4"/>
  <c r="X494" i="4"/>
  <c r="X484" i="4"/>
  <c r="X474" i="4"/>
  <c r="X464" i="4"/>
  <c r="X454" i="4"/>
  <c r="X444" i="4"/>
  <c r="Y444" i="4" s="1"/>
  <c r="X434" i="4"/>
  <c r="Y434" i="4" s="1"/>
  <c r="X424" i="4"/>
  <c r="X414" i="4"/>
  <c r="Y414" i="4" s="1"/>
  <c r="X404" i="4"/>
  <c r="X394" i="4"/>
  <c r="Y394" i="4" s="1"/>
  <c r="X384" i="4"/>
  <c r="X374" i="4"/>
  <c r="X364" i="4"/>
  <c r="X354" i="4"/>
  <c r="Y354" i="4" s="1"/>
  <c r="X344" i="4"/>
  <c r="Y344" i="4" s="1"/>
  <c r="X334" i="4"/>
  <c r="Y334" i="4" s="1"/>
  <c r="X324" i="4"/>
  <c r="X314" i="4"/>
  <c r="Y314" i="4" s="1"/>
  <c r="X304" i="4"/>
  <c r="X294" i="4"/>
  <c r="Y294" i="4" s="1"/>
  <c r="X284" i="4"/>
  <c r="X274" i="4"/>
  <c r="X264" i="4"/>
  <c r="X254" i="4"/>
  <c r="X244" i="4"/>
  <c r="X234" i="4"/>
  <c r="Y234" i="4" s="1"/>
  <c r="X224" i="4"/>
  <c r="Y224" i="4" s="1"/>
  <c r="X214" i="4"/>
  <c r="Y214" i="4" s="1"/>
  <c r="X204" i="4"/>
  <c r="X194" i="4"/>
  <c r="Y194" i="4" s="1"/>
  <c r="X184" i="4"/>
  <c r="X174" i="4"/>
  <c r="X164" i="4"/>
  <c r="X154" i="4"/>
  <c r="Y154" i="4" s="1"/>
  <c r="X144" i="4"/>
  <c r="X134" i="4"/>
  <c r="Y134" i="4" s="1"/>
  <c r="X124" i="4"/>
  <c r="Y124" i="4" s="1"/>
  <c r="X114" i="4"/>
  <c r="Y114" i="4" s="1"/>
  <c r="X104" i="4"/>
  <c r="X94" i="4"/>
  <c r="Y94" i="4" s="1"/>
  <c r="X84" i="4"/>
  <c r="X74" i="4"/>
  <c r="X64" i="4"/>
  <c r="X54" i="4"/>
  <c r="X44" i="4"/>
  <c r="Y44" i="4" s="1"/>
  <c r="X34" i="4"/>
  <c r="Y34" i="4" s="1"/>
  <c r="X24" i="4"/>
  <c r="X14" i="4"/>
  <c r="Y14" i="4" s="1"/>
  <c r="U356" i="4"/>
  <c r="U361" i="4"/>
  <c r="Y361" i="4" s="1"/>
  <c r="U366" i="4"/>
  <c r="U371" i="4"/>
  <c r="U376" i="4"/>
  <c r="U381" i="4"/>
  <c r="U386" i="4"/>
  <c r="Y386" i="4" s="1"/>
  <c r="U391" i="4"/>
  <c r="Y391" i="4" s="1"/>
  <c r="U396" i="4"/>
  <c r="Y396" i="4" s="1"/>
  <c r="U401" i="4"/>
  <c r="Y401" i="4" s="1"/>
  <c r="U406" i="4"/>
  <c r="U411" i="4"/>
  <c r="U416" i="4"/>
  <c r="U421" i="4"/>
  <c r="U426" i="4"/>
  <c r="U431" i="4"/>
  <c r="Y431" i="4" s="1"/>
  <c r="U436" i="4"/>
  <c r="U441" i="4"/>
  <c r="Y441" i="4" s="1"/>
  <c r="U446" i="4"/>
  <c r="Y446" i="4" s="1"/>
  <c r="U451" i="4"/>
  <c r="U456" i="4"/>
  <c r="U461" i="4"/>
  <c r="Y461" i="4" s="1"/>
  <c r="U466" i="4"/>
  <c r="U471" i="4"/>
  <c r="U476" i="4"/>
  <c r="U481" i="4"/>
  <c r="Y481" i="4" s="1"/>
  <c r="U486" i="4"/>
  <c r="U491" i="4"/>
  <c r="U496" i="4"/>
  <c r="Y496" i="4" s="1"/>
  <c r="U501" i="4"/>
  <c r="Y501" i="4" s="1"/>
  <c r="X503" i="4"/>
  <c r="X493" i="4"/>
  <c r="X483" i="4"/>
  <c r="X473" i="4"/>
  <c r="X463" i="4"/>
  <c r="X453" i="4"/>
  <c r="X443" i="4"/>
  <c r="X433" i="4"/>
  <c r="Y433" i="4" s="1"/>
  <c r="X423" i="4"/>
  <c r="Y423" i="4" s="1"/>
  <c r="X413" i="4"/>
  <c r="Y413" i="4" s="1"/>
  <c r="X403" i="4"/>
  <c r="X393" i="4"/>
  <c r="Y393" i="4" s="1"/>
  <c r="X383" i="4"/>
  <c r="X373" i="4"/>
  <c r="X363" i="4"/>
  <c r="X353" i="4"/>
  <c r="Y353" i="4" s="1"/>
  <c r="X333" i="4"/>
  <c r="X323" i="4"/>
  <c r="Y323" i="4" s="1"/>
  <c r="X313" i="4"/>
  <c r="Y313" i="4" s="1"/>
  <c r="X303" i="4"/>
  <c r="Y303" i="4" s="1"/>
  <c r="X293" i="4"/>
  <c r="X283" i="4"/>
  <c r="X273" i="4"/>
  <c r="X263" i="4"/>
  <c r="X253" i="4"/>
  <c r="X243" i="4"/>
  <c r="X233" i="4"/>
  <c r="Y233" i="4" s="1"/>
  <c r="X223" i="4"/>
  <c r="Y223" i="4" s="1"/>
  <c r="X213" i="4"/>
  <c r="X203" i="4"/>
  <c r="Y203" i="4" s="1"/>
  <c r="X193" i="4"/>
  <c r="Y193" i="4" s="1"/>
  <c r="X183" i="4"/>
  <c r="X173" i="4"/>
  <c r="X163" i="4"/>
  <c r="X153" i="4"/>
  <c r="X143" i="4"/>
  <c r="X133" i="4"/>
  <c r="X123" i="4"/>
  <c r="Y123" i="4" s="1"/>
  <c r="X113" i="4"/>
  <c r="Y113" i="4" s="1"/>
  <c r="X103" i="4"/>
  <c r="Y103" i="4" s="1"/>
  <c r="X93" i="4"/>
  <c r="X83" i="4"/>
  <c r="Y83" i="4" s="1"/>
  <c r="X73" i="4"/>
  <c r="X63" i="4"/>
  <c r="X53" i="4"/>
  <c r="X43" i="4"/>
  <c r="Y43" i="4" s="1"/>
  <c r="X33" i="4"/>
  <c r="X23" i="4"/>
  <c r="X13" i="4"/>
  <c r="Y13" i="4" s="1"/>
  <c r="U5" i="4"/>
  <c r="X5" i="4"/>
  <c r="X343" i="4"/>
  <c r="U500" i="4"/>
  <c r="U502" i="4"/>
  <c r="U504" i="4"/>
  <c r="Y497" i="4"/>
  <c r="Y493" i="4"/>
  <c r="Y489" i="4"/>
  <c r="Y485" i="4"/>
  <c r="Y477" i="4"/>
  <c r="Y473" i="4"/>
  <c r="Y469" i="4"/>
  <c r="Y465" i="4"/>
  <c r="Y457" i="4"/>
  <c r="Y453" i="4"/>
  <c r="Y445" i="4"/>
  <c r="Y437" i="4"/>
  <c r="Y425" i="4"/>
  <c r="Y421" i="4"/>
  <c r="Y417" i="4"/>
  <c r="Y409" i="4"/>
  <c r="Y405" i="4"/>
  <c r="Y397" i="4"/>
  <c r="Y385" i="4"/>
  <c r="Y381" i="4"/>
  <c r="Y377" i="4"/>
  <c r="Y373" i="4"/>
  <c r="Y369" i="4"/>
  <c r="Y365" i="4"/>
  <c r="Y357" i="4"/>
  <c r="Y345" i="4"/>
  <c r="Y341" i="4"/>
  <c r="Y503" i="4"/>
  <c r="Y495" i="4"/>
  <c r="Y491" i="4"/>
  <c r="Y487" i="4"/>
  <c r="Y483" i="4"/>
  <c r="Y475" i="4"/>
  <c r="Y471" i="4"/>
  <c r="Y467" i="4"/>
  <c r="Y463" i="4"/>
  <c r="Y459" i="4"/>
  <c r="Y455" i="4"/>
  <c r="Y451" i="4"/>
  <c r="Y447" i="4"/>
  <c r="Y443" i="4"/>
  <c r="Y435" i="4"/>
  <c r="Y427" i="4"/>
  <c r="Y419" i="4"/>
  <c r="Y415" i="4"/>
  <c r="Y411" i="4"/>
  <c r="Y407" i="4"/>
  <c r="Y403" i="4"/>
  <c r="Y395" i="4"/>
  <c r="Y387" i="4"/>
  <c r="Y383" i="4"/>
  <c r="Y379" i="4"/>
  <c r="Y337" i="4"/>
  <c r="Y333" i="4"/>
  <c r="Y325" i="4"/>
  <c r="Y317" i="4"/>
  <c r="Y305" i="4"/>
  <c r="Y301" i="4"/>
  <c r="Y297" i="4"/>
  <c r="Y293" i="4"/>
  <c r="Y285" i="4"/>
  <c r="Y281" i="4"/>
  <c r="Y277" i="4"/>
  <c r="Y273" i="4"/>
  <c r="Y269" i="4"/>
  <c r="Y265" i="4"/>
  <c r="Y261" i="4"/>
  <c r="Y257" i="4"/>
  <c r="Y253" i="4"/>
  <c r="Y245" i="4"/>
  <c r="Y241" i="4"/>
  <c r="Y237" i="4"/>
  <c r="Y229" i="4"/>
  <c r="Y225" i="4"/>
  <c r="Y221" i="4"/>
  <c r="Y217" i="4"/>
  <c r="Y213" i="4"/>
  <c r="Y205" i="4"/>
  <c r="Y201" i="4"/>
  <c r="Y197" i="4"/>
  <c r="Y185" i="4"/>
  <c r="Y181" i="4"/>
  <c r="Y177" i="4"/>
  <c r="Y173" i="4"/>
  <c r="Y169" i="4"/>
  <c r="Y165" i="4"/>
  <c r="Y161" i="4"/>
  <c r="Y157" i="4"/>
  <c r="Y153" i="4"/>
  <c r="Y145" i="4"/>
  <c r="Y141" i="4"/>
  <c r="Y137" i="4"/>
  <c r="Y133" i="4"/>
  <c r="Y125" i="4"/>
  <c r="Y121" i="4"/>
  <c r="Y117" i="4"/>
  <c r="Y105" i="4"/>
  <c r="Y101" i="4"/>
  <c r="Y97" i="4"/>
  <c r="Y93" i="4"/>
  <c r="Y500" i="4"/>
  <c r="Y492" i="4"/>
  <c r="Y488" i="4"/>
  <c r="Y480" i="4"/>
  <c r="Y476" i="4"/>
  <c r="Y472" i="4"/>
  <c r="Y468" i="4"/>
  <c r="Y464" i="4"/>
  <c r="Y460" i="4"/>
  <c r="Y456" i="4"/>
  <c r="Y452" i="4"/>
  <c r="Y448" i="4"/>
  <c r="Y440" i="4"/>
  <c r="Y436" i="4"/>
  <c r="Y432" i="4"/>
  <c r="Y428" i="4"/>
  <c r="Y424" i="4"/>
  <c r="Y420" i="4"/>
  <c r="Y416" i="4"/>
  <c r="Y412" i="4"/>
  <c r="Y375" i="4"/>
  <c r="Y371" i="4"/>
  <c r="Y367" i="4"/>
  <c r="Y363" i="4"/>
  <c r="Y359" i="4"/>
  <c r="Y355" i="4"/>
  <c r="Y351" i="4"/>
  <c r="Y347" i="4"/>
  <c r="Y343" i="4"/>
  <c r="Y335" i="4"/>
  <c r="Y331" i="4"/>
  <c r="Y327" i="4"/>
  <c r="Y319" i="4"/>
  <c r="Y315" i="4"/>
  <c r="Y311" i="4"/>
  <c r="Y307" i="4"/>
  <c r="Y295" i="4"/>
  <c r="Y291" i="4"/>
  <c r="Y287" i="4"/>
  <c r="Y283" i="4"/>
  <c r="Y279" i="4"/>
  <c r="Y275" i="4"/>
  <c r="Y271" i="4"/>
  <c r="Y267" i="4"/>
  <c r="Y263" i="4"/>
  <c r="Y255" i="4"/>
  <c r="Y251" i="4"/>
  <c r="Y247" i="4"/>
  <c r="Y243" i="4"/>
  <c r="Y239" i="4"/>
  <c r="Y235" i="4"/>
  <c r="Y231" i="4"/>
  <c r="Y227" i="4"/>
  <c r="Y219" i="4"/>
  <c r="Y215" i="4"/>
  <c r="Y211" i="4"/>
  <c r="Y207" i="4"/>
  <c r="Y195" i="4"/>
  <c r="Y191" i="4"/>
  <c r="Y187" i="4"/>
  <c r="Y183" i="4"/>
  <c r="Y175" i="4"/>
  <c r="Y171" i="4"/>
  <c r="Y167" i="4"/>
  <c r="Y163" i="4"/>
  <c r="Y502" i="4"/>
  <c r="Y498" i="4"/>
  <c r="Y494" i="4"/>
  <c r="Y490" i="4"/>
  <c r="Y486" i="4"/>
  <c r="Y482" i="4"/>
  <c r="Y478" i="4"/>
  <c r="Y474" i="4"/>
  <c r="Y470" i="4"/>
  <c r="Y466" i="4"/>
  <c r="Y85" i="4"/>
  <c r="Y81" i="4"/>
  <c r="Y77" i="4"/>
  <c r="Y73" i="4"/>
  <c r="Y69" i="4"/>
  <c r="Y65" i="4"/>
  <c r="Y61" i="4"/>
  <c r="Y57" i="4"/>
  <c r="Y53" i="4"/>
  <c r="Y49" i="4"/>
  <c r="Y45" i="4"/>
  <c r="Y41" i="4"/>
  <c r="Y37" i="4"/>
  <c r="Y33" i="4"/>
  <c r="Y25" i="4"/>
  <c r="Y21" i="4"/>
  <c r="Y17" i="4"/>
  <c r="Y9" i="4"/>
  <c r="Y408" i="4"/>
  <c r="Y404" i="4"/>
  <c r="Y400" i="4"/>
  <c r="Y392" i="4"/>
  <c r="Y388" i="4"/>
  <c r="Y380" i="4"/>
  <c r="Y376" i="4"/>
  <c r="Y372" i="4"/>
  <c r="Y368" i="4"/>
  <c r="Y364" i="4"/>
  <c r="Y360" i="4"/>
  <c r="Y356" i="4"/>
  <c r="Y352" i="4"/>
  <c r="Y348" i="4"/>
  <c r="Y340" i="4"/>
  <c r="Y336" i="4"/>
  <c r="Y332" i="4"/>
  <c r="Y328" i="4"/>
  <c r="Y324" i="4"/>
  <c r="Y320" i="4"/>
  <c r="Y316" i="4"/>
  <c r="Y312" i="4"/>
  <c r="Y308" i="4"/>
  <c r="Y304" i="4"/>
  <c r="Y300" i="4"/>
  <c r="Y296" i="4"/>
  <c r="Y292" i="4"/>
  <c r="Y288" i="4"/>
  <c r="Y284" i="4"/>
  <c r="Y280" i="4"/>
  <c r="Y276" i="4"/>
  <c r="Y272" i="4"/>
  <c r="Y268" i="4"/>
  <c r="Y264" i="4"/>
  <c r="Y260" i="4"/>
  <c r="Y256" i="4"/>
  <c r="Y252" i="4"/>
  <c r="Y248" i="4"/>
  <c r="Y244" i="4"/>
  <c r="Y240" i="4"/>
  <c r="Y236" i="4"/>
  <c r="Y232" i="4"/>
  <c r="Y228" i="4"/>
  <c r="Y220" i="4"/>
  <c r="Y216" i="4"/>
  <c r="Y212" i="4"/>
  <c r="Y208" i="4"/>
  <c r="Y204" i="4"/>
  <c r="Y200" i="4"/>
  <c r="Y196" i="4"/>
  <c r="Y192" i="4"/>
  <c r="Y188" i="4"/>
  <c r="Y180" i="4"/>
  <c r="Y176" i="4"/>
  <c r="Y172" i="4"/>
  <c r="Y168" i="4"/>
  <c r="Y164" i="4"/>
  <c r="Y160" i="4"/>
  <c r="Y156" i="4"/>
  <c r="Y152" i="4"/>
  <c r="Y148" i="4"/>
  <c r="Y155" i="4"/>
  <c r="Y151" i="4"/>
  <c r="Y147" i="4"/>
  <c r="Y143" i="4"/>
  <c r="Y139" i="4"/>
  <c r="Y135" i="4"/>
  <c r="Y131" i="4"/>
  <c r="Y127" i="4"/>
  <c r="Y119" i="4"/>
  <c r="Y115" i="4"/>
  <c r="Y111" i="4"/>
  <c r="Y107" i="4"/>
  <c r="Y99" i="4"/>
  <c r="Y95" i="4"/>
  <c r="Y91" i="4"/>
  <c r="Y87" i="4"/>
  <c r="Y75" i="4"/>
  <c r="Y71" i="4"/>
  <c r="Y67" i="4"/>
  <c r="Y63" i="4"/>
  <c r="Y59" i="4"/>
  <c r="Y55" i="4"/>
  <c r="Y51" i="4"/>
  <c r="Y47" i="4"/>
  <c r="Y35" i="4"/>
  <c r="Y31" i="4"/>
  <c r="Y27" i="4"/>
  <c r="Y23" i="4"/>
  <c r="Y19" i="4"/>
  <c r="Y15" i="4"/>
  <c r="Y11" i="4"/>
  <c r="Y7" i="4"/>
  <c r="Y462" i="4"/>
  <c r="Y458" i="4"/>
  <c r="Y454" i="4"/>
  <c r="Y450" i="4"/>
  <c r="Y442" i="4"/>
  <c r="Y438" i="4"/>
  <c r="Y430" i="4"/>
  <c r="Y426" i="4"/>
  <c r="Y422" i="4"/>
  <c r="Y418" i="4"/>
  <c r="Y410" i="4"/>
  <c r="Y406" i="4"/>
  <c r="Y402" i="4"/>
  <c r="Y398" i="4"/>
  <c r="Y390" i="4"/>
  <c r="Y382" i="4"/>
  <c r="Y378" i="4"/>
  <c r="Y374" i="4"/>
  <c r="Y370" i="4"/>
  <c r="Y366" i="4"/>
  <c r="Y362" i="4"/>
  <c r="Y358" i="4"/>
  <c r="Y350" i="4"/>
  <c r="Y342" i="4"/>
  <c r="Y338" i="4"/>
  <c r="Y330" i="4"/>
  <c r="Y326" i="4"/>
  <c r="Y322" i="4"/>
  <c r="Y318" i="4"/>
  <c r="Y310" i="4"/>
  <c r="Y306" i="4"/>
  <c r="Y302" i="4"/>
  <c r="Y298" i="4"/>
  <c r="Y290" i="4"/>
  <c r="Y286" i="4"/>
  <c r="Y282" i="4"/>
  <c r="Y278" i="4"/>
  <c r="Y274" i="4"/>
  <c r="Y270" i="4"/>
  <c r="Y266" i="4"/>
  <c r="Y262" i="4"/>
  <c r="Y258" i="4"/>
  <c r="Y254" i="4"/>
  <c r="Y250" i="4"/>
  <c r="Y246" i="4"/>
  <c r="Y242" i="4"/>
  <c r="Y238" i="4"/>
  <c r="Y230" i="4"/>
  <c r="Y226" i="4"/>
  <c r="Y222" i="4"/>
  <c r="Y218" i="4"/>
  <c r="Y210" i="4"/>
  <c r="Y206" i="4"/>
  <c r="Y202" i="4"/>
  <c r="Y198" i="4"/>
  <c r="Y190" i="4"/>
  <c r="Y186" i="4"/>
  <c r="Y182" i="4"/>
  <c r="Y178" i="4"/>
  <c r="Y174" i="4"/>
  <c r="Y170" i="4"/>
  <c r="Y166" i="4"/>
  <c r="Y162" i="4"/>
  <c r="Y158" i="4"/>
  <c r="Y150" i="4"/>
  <c r="Y146" i="4"/>
  <c r="Y142" i="4"/>
  <c r="Y138" i="4"/>
  <c r="Y130" i="4"/>
  <c r="Y126" i="4"/>
  <c r="Y122" i="4"/>
  <c r="Y118" i="4"/>
  <c r="Y110" i="4"/>
  <c r="Y106" i="4"/>
  <c r="Y102" i="4"/>
  <c r="Y98" i="4"/>
  <c r="Y90" i="4"/>
  <c r="Y86" i="4"/>
  <c r="Y82" i="4"/>
  <c r="Y78" i="4"/>
  <c r="Y74" i="4"/>
  <c r="Y70" i="4"/>
  <c r="Y66" i="4"/>
  <c r="Y62" i="4"/>
  <c r="Y58" i="4"/>
  <c r="Y54" i="4"/>
  <c r="Y50" i="4"/>
  <c r="Y46" i="4"/>
  <c r="Y42" i="4"/>
  <c r="Y38" i="4"/>
  <c r="Y30" i="4"/>
  <c r="Y26" i="4"/>
  <c r="Y22" i="4"/>
  <c r="Y18" i="4"/>
  <c r="Y10" i="4"/>
  <c r="Y6" i="4"/>
  <c r="Y144" i="4"/>
  <c r="Y140" i="4"/>
  <c r="Y136" i="4"/>
  <c r="Y132" i="4"/>
  <c r="Y128" i="4"/>
  <c r="Y120" i="4"/>
  <c r="Y116" i="4"/>
  <c r="Y112" i="4"/>
  <c r="Y108" i="4"/>
  <c r="Y104" i="4"/>
  <c r="Y100" i="4"/>
  <c r="Y96" i="4"/>
  <c r="Y92" i="4"/>
  <c r="Y88" i="4"/>
  <c r="Y80" i="4"/>
  <c r="Y76" i="4"/>
  <c r="Y72" i="4"/>
  <c r="Y68" i="4"/>
  <c r="Y64" i="4"/>
  <c r="Y60" i="4"/>
  <c r="Y56" i="4"/>
  <c r="Y52" i="4"/>
  <c r="Y48" i="4"/>
  <c r="Y40" i="4"/>
  <c r="Y36" i="4"/>
  <c r="Y32" i="4"/>
  <c r="Y28" i="4"/>
  <c r="Y24" i="4"/>
  <c r="Y20" i="4"/>
  <c r="Y16" i="4"/>
  <c r="Y12" i="4"/>
  <c r="Y8" i="4"/>
  <c r="Y5" i="4" l="1"/>
  <c r="Y504" i="4"/>
  <c r="C17" i="5"/>
  <c r="C18" i="5"/>
  <c r="C15" i="5"/>
  <c r="C11" i="5"/>
  <c r="C12" i="5"/>
  <c r="C19" i="5"/>
  <c r="C20" i="5"/>
  <c r="C21" i="5"/>
  <c r="C13" i="5"/>
  <c r="C14" i="5"/>
  <c r="C16" i="5"/>
  <c r="C5" i="5"/>
  <c r="I20" i="5" l="1"/>
  <c r="G20" i="5"/>
  <c r="F20" i="5"/>
  <c r="J20" i="5"/>
  <c r="J21" i="5"/>
  <c r="I21" i="5"/>
  <c r="F21" i="5"/>
  <c r="G21" i="5"/>
  <c r="J12" i="5"/>
  <c r="F12" i="5"/>
  <c r="G12" i="5"/>
  <c r="I12" i="5"/>
  <c r="J15" i="5"/>
  <c r="I15" i="5"/>
  <c r="G15" i="5"/>
  <c r="F15" i="5"/>
  <c r="J17" i="5"/>
  <c r="F17" i="5"/>
  <c r="G17" i="5"/>
  <c r="I17" i="5"/>
  <c r="F18" i="5"/>
  <c r="I18" i="5"/>
  <c r="J18" i="5"/>
  <c r="G18" i="5"/>
  <c r="J14" i="5"/>
  <c r="G14" i="5"/>
  <c r="F14" i="5"/>
  <c r="I14" i="5"/>
  <c r="G19" i="5"/>
  <c r="F19" i="5"/>
  <c r="I19" i="5"/>
  <c r="J19" i="5"/>
  <c r="J11" i="5"/>
  <c r="I11" i="5"/>
  <c r="F11" i="5"/>
  <c r="H11" i="5" s="1"/>
  <c r="G11" i="5"/>
  <c r="J16" i="5"/>
  <c r="I16" i="5"/>
  <c r="F16" i="5"/>
  <c r="G16" i="5"/>
  <c r="J13" i="5"/>
  <c r="F13" i="5"/>
  <c r="G13" i="5"/>
  <c r="I13" i="5"/>
  <c r="D13" i="5"/>
  <c r="D17" i="5"/>
  <c r="D21" i="5"/>
  <c r="D14" i="5"/>
  <c r="D18" i="5"/>
  <c r="D11" i="5"/>
  <c r="D15" i="5"/>
  <c r="D19" i="5"/>
  <c r="D12" i="5"/>
  <c r="D16" i="5"/>
  <c r="D20" i="5"/>
  <c r="E14" i="5" l="1"/>
  <c r="L14" i="5" s="1"/>
  <c r="H14" i="5"/>
  <c r="M14" i="5" s="1"/>
  <c r="H19" i="5"/>
  <c r="M19" i="5" s="1"/>
  <c r="E19" i="5"/>
  <c r="L19" i="5" s="1"/>
  <c r="E20" i="5"/>
  <c r="L20" i="5" s="1"/>
  <c r="H20" i="5"/>
  <c r="M20" i="5" s="1"/>
  <c r="H15" i="5"/>
  <c r="M15" i="5" s="1"/>
  <c r="E15" i="5"/>
  <c r="L15" i="5" s="1"/>
  <c r="E21" i="5"/>
  <c r="L21" i="5" s="1"/>
  <c r="H21" i="5"/>
  <c r="M21" i="5" s="1"/>
  <c r="E17" i="5"/>
  <c r="L17" i="5" s="1"/>
  <c r="H17" i="5"/>
  <c r="M17" i="5" s="1"/>
  <c r="E16" i="5"/>
  <c r="L16" i="5" s="1"/>
  <c r="H16" i="5"/>
  <c r="M16" i="5" s="1"/>
  <c r="E11" i="5"/>
  <c r="L11" i="5" s="1"/>
  <c r="M11" i="5"/>
  <c r="E12" i="5"/>
  <c r="L12" i="5" s="1"/>
  <c r="H12" i="5"/>
  <c r="M12" i="5" s="1"/>
  <c r="E18" i="5"/>
  <c r="L18" i="5" s="1"/>
  <c r="H18" i="5"/>
  <c r="M18" i="5" s="1"/>
  <c r="E13" i="5"/>
  <c r="L13" i="5" s="1"/>
  <c r="H13" i="5"/>
  <c r="M13" i="5" s="1"/>
  <c r="K21" i="5" l="1"/>
  <c r="K15" i="5"/>
  <c r="K17" i="5"/>
  <c r="K18" i="5"/>
  <c r="K12" i="5"/>
  <c r="N17" i="5"/>
  <c r="N15" i="5"/>
  <c r="N13" i="5"/>
  <c r="N11" i="5"/>
  <c r="N16" i="5"/>
  <c r="N20" i="5"/>
  <c r="K11" i="5"/>
  <c r="N19" i="5"/>
  <c r="N14" i="5"/>
  <c r="K13" i="5"/>
  <c r="N18" i="5"/>
  <c r="N12" i="5"/>
  <c r="K16" i="5"/>
  <c r="N21" i="5"/>
  <c r="K20" i="5"/>
  <c r="K19" i="5"/>
  <c r="K14" i="5"/>
  <c r="C24" i="5" l="1"/>
</calcChain>
</file>

<file path=xl/sharedStrings.xml><?xml version="1.0" encoding="utf-8"?>
<sst xmlns="http://schemas.openxmlformats.org/spreadsheetml/2006/main" count="2115" uniqueCount="109">
  <si>
    <t>Loan ID</t>
  </si>
  <si>
    <t>Origination Date of Loan</t>
  </si>
  <si>
    <t>Term</t>
  </si>
  <si>
    <t>Age</t>
  </si>
  <si>
    <t>Original Loan Amount</t>
  </si>
  <si>
    <t>Current Loan Amount</t>
  </si>
  <si>
    <t>Original LTV</t>
  </si>
  <si>
    <t>State of Property</t>
  </si>
  <si>
    <t>FICO</t>
  </si>
  <si>
    <t>DTI</t>
  </si>
  <si>
    <t>Loan Status</t>
  </si>
  <si>
    <t>Interest Rates</t>
  </si>
  <si>
    <t>MI Coverage</t>
  </si>
  <si>
    <t>Premium Rate</t>
  </si>
  <si>
    <t xml:space="preserve">FICO &gt; 
LTV </t>
  </si>
  <si>
    <t>Default Rates by FICO/Orig LTV buckets</t>
  </si>
  <si>
    <t>650-700</t>
  </si>
  <si>
    <t>&lt; 650</t>
  </si>
  <si>
    <t>700-750</t>
  </si>
  <si>
    <t>750-800</t>
  </si>
  <si>
    <t>80-85</t>
  </si>
  <si>
    <t>85-90</t>
  </si>
  <si>
    <t>90-95</t>
  </si>
  <si>
    <t>HPI Movement</t>
  </si>
  <si>
    <t>Original Property Price</t>
  </si>
  <si>
    <t>Expense Loading</t>
  </si>
  <si>
    <t>Recovery Lag</t>
  </si>
  <si>
    <t>Note: Expense Loading at time of a claim is applied to the unpaid principal balance at the time of claim</t>
  </si>
  <si>
    <t xml:space="preserve">Note: HPI Movement is assumed to be applied flat on the original property price, irrespective of when the loan was issues and annual HPA since then. </t>
  </si>
  <si>
    <t>Please Note the following assumptions &amp; limitation of the tool before running it:</t>
  </si>
  <si>
    <t xml:space="preserve">The model does not take into account economic factors like unemployment, inflation, references to interest rates index, references to House Price Index, etc. </t>
  </si>
  <si>
    <t>The model is a very simplistic version of how MI losses could look like, it ignores the fact that loans season over time.</t>
  </si>
  <si>
    <t>The model does not take into account prepayment rates without which results could be distorted</t>
  </si>
  <si>
    <t>The model does not consider cancellation of mortgages due to reaching the HOPA cancellation</t>
  </si>
  <si>
    <t xml:space="preserve">The model assumes a distribution of time of total losses over the term of the treaty, in reality this distribution may not be true. </t>
  </si>
  <si>
    <t>The model assumes all loans are singles, i.e., premium is paid at the start as a lumpsum and is earned over time based on an earnings pattern.</t>
  </si>
  <si>
    <t xml:space="preserve">The model ignores an important factor that loans default through stages of delinquencies. This model assumes a direct probability of a loan turning into a cliam using default rate assumptions. </t>
  </si>
  <si>
    <t>The model is not dynamic and does not consider real-time movements in the markets</t>
  </si>
  <si>
    <t xml:space="preserve">The model assumes a simple HPI application, where HPI movement is directly applied to the original property price. However, in reality a House Price Index over years need to be used. Hence the percentage provided in Cell E13 is not an annual percentage. </t>
  </si>
  <si>
    <t>Please proivde the following treaty features for calculation of Probable Maximum Losses</t>
  </si>
  <si>
    <t>Insurer Name</t>
  </si>
  <si>
    <t>Treaty Code</t>
  </si>
  <si>
    <t>Treaty Start Date</t>
  </si>
  <si>
    <t>Treaty End Date</t>
  </si>
  <si>
    <t>Basis of Cover</t>
  </si>
  <si>
    <t>Quota Share Percentage</t>
  </si>
  <si>
    <t>Ceding Commission</t>
  </si>
  <si>
    <t>Reinsurance Margin</t>
  </si>
  <si>
    <t xml:space="preserve">The model assumes PML calculaitons only for a Quota Share Treaty. Hence the basis of cover is "Risk Attaching" basis. </t>
  </si>
  <si>
    <t>Profit Commission</t>
  </si>
  <si>
    <t>The model does not consider important treaty features like aggregate loss ratio caps and default year loss ratio caps.</t>
  </si>
  <si>
    <t>The model also does not consider any early termination of reinsurance treaties.</t>
  </si>
  <si>
    <t>Brokerage</t>
  </si>
  <si>
    <t>ABC Re</t>
  </si>
  <si>
    <t>Risk Attaching</t>
  </si>
  <si>
    <t>Limitations of the model</t>
  </si>
  <si>
    <t>Input Assumptions of the model</t>
  </si>
  <si>
    <t>Treaty Features</t>
  </si>
  <si>
    <t>PML Evaluation Date</t>
  </si>
  <si>
    <t>Current</t>
  </si>
  <si>
    <t>CA</t>
  </si>
  <si>
    <t>FL</t>
  </si>
  <si>
    <t>TX</t>
  </si>
  <si>
    <t>AK</t>
  </si>
  <si>
    <t>AZ</t>
  </si>
  <si>
    <t>NM</t>
  </si>
  <si>
    <t>ND</t>
  </si>
  <si>
    <t>MT</t>
  </si>
  <si>
    <t>WA</t>
  </si>
  <si>
    <t>ME</t>
  </si>
  <si>
    <t>NJ</t>
  </si>
  <si>
    <t>NY</t>
  </si>
  <si>
    <t>VA</t>
  </si>
  <si>
    <t>IA</t>
  </si>
  <si>
    <t>IL</t>
  </si>
  <si>
    <t>Loan Level Data</t>
  </si>
  <si>
    <t>Written Premium</t>
  </si>
  <si>
    <t>LTV Group</t>
  </si>
  <si>
    <t>FICO Group</t>
  </si>
  <si>
    <t>Default Rate</t>
  </si>
  <si>
    <t>&lt; 80</t>
  </si>
  <si>
    <t>&gt; 95</t>
  </si>
  <si>
    <t>&gt; 800</t>
  </si>
  <si>
    <t>Claim Severity (Option 1)</t>
  </si>
  <si>
    <t>Claim Severity (Option 2)</t>
  </si>
  <si>
    <t>Final Claim Severity</t>
  </si>
  <si>
    <t>Loss Amount</t>
  </si>
  <si>
    <t>Loan Level Loss &amp; Premium Calculation</t>
  </si>
  <si>
    <t>PML Calculation</t>
  </si>
  <si>
    <t>Total Losses on Book</t>
  </si>
  <si>
    <t>Total Written Premium on Book</t>
  </si>
  <si>
    <t>Earned Premium</t>
  </si>
  <si>
    <t xml:space="preserve">&lt;&lt; Assume total unearned at the start </t>
  </si>
  <si>
    <t>Loss and Premium Emergence Pattern</t>
  </si>
  <si>
    <t>Year</t>
  </si>
  <si>
    <t>Incremental Loss Developed</t>
  </si>
  <si>
    <t>Loss Emergence Pattern</t>
  </si>
  <si>
    <t>Premium Earnings Pattern</t>
  </si>
  <si>
    <t xml:space="preserve">&lt;&lt; Note: User may decide to change this pattern based on treaty, else they can remain the same since it assumes a linear pattern for premiums and pattern for loss emrgence based on historical treaties. </t>
  </si>
  <si>
    <t>Incurred Losses</t>
  </si>
  <si>
    <t>Paid Losses</t>
  </si>
  <si>
    <t>Maximum Reinsurance Margin</t>
  </si>
  <si>
    <t>Underwriting Income or Loss</t>
  </si>
  <si>
    <t>FET</t>
  </si>
  <si>
    <t>Federal Exicse Taxes</t>
  </si>
  <si>
    <t>Loss Ratio</t>
  </si>
  <si>
    <t>Expense Ratio</t>
  </si>
  <si>
    <t>Composite Ratio</t>
  </si>
  <si>
    <t>PML
(on Evaluation 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</si>
</sst>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&quot;₹&quot;\ * #,##0.00_ ;_ &quot;₹&quot;\ * \-#,##0.00_ ;_ &quot;₹&quot;\ * &quot;-&quot;??_ ;_ @_ "/>
    <numFmt numFmtId="165" formatCode="_ * #,##0.00_ ;_ * \-#,##0.00_ ;_ * &quot;-&quot;??_ ;_ @_ "/>
    <numFmt numFmtId="166" formatCode="0.0%"/>
    <numFmt numFmtId="167" formatCode="_-[$$-409]* #,##0.00_ ;_-[$$-409]* \-#,##0.00\ ;_-[$$-409]* &quot;-&quot;??_ ;_-@_ "/>
    <numFmt numFmtId="168" formatCode="_-[$$-409]* #,##0_ ;_-[$$-409]* \-#,##0\ ;_-[$$-409]* &quot;-&quot;??_ ;_-@_ 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theme="0"/>
      <name val="Arial"/>
      <family val="2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4" fontId="6" fillId="0" borderId="0" applyFont="0" applyFill="0" applyBorder="0" applyAlignment="0" applyProtection="0"/>
  </cellStyleXfs>
  <cellXfs count="4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3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4" fillId="0" borderId="0" xfId="0" applyFont="1"/>
    <xf numFmtId="166" fontId="1" fillId="0" borderId="1" xfId="0" applyNumberFormat="1" applyFont="1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0" fontId="1" fillId="2" borderId="0" xfId="0" applyFont="1" applyFill="1"/>
    <xf numFmtId="0" fontId="5" fillId="2" borderId="0" xfId="0" applyFont="1" applyFill="1"/>
    <xf numFmtId="0" fontId="1" fillId="4" borderId="1" xfId="0" applyFont="1" applyFill="1" applyBorder="1" applyAlignment="1">
      <alignment horizontal="center"/>
    </xf>
    <xf numFmtId="14" fontId="1" fillId="4" borderId="1" xfId="0" applyNumberFormat="1" applyFont="1" applyFill="1" applyBorder="1" applyAlignment="1">
      <alignment horizontal="center"/>
    </xf>
    <xf numFmtId="9" fontId="1" fillId="4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1" fillId="0" borderId="0" xfId="0" applyNumberFormat="1" applyFont="1"/>
    <xf numFmtId="0" fontId="2" fillId="5" borderId="1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5" fillId="0" borderId="0" xfId="0" applyFont="1"/>
    <xf numFmtId="0" fontId="1" fillId="6" borderId="1" xfId="0" applyFont="1" applyFill="1" applyBorder="1" applyAlignment="1">
      <alignment horizontal="center"/>
    </xf>
    <xf numFmtId="166" fontId="1" fillId="6" borderId="1" xfId="2" applyNumberFormat="1" applyFont="1" applyFill="1" applyBorder="1" applyAlignment="1">
      <alignment horizontal="center"/>
    </xf>
    <xf numFmtId="0" fontId="3" fillId="0" borderId="0" xfId="0" applyFont="1" applyAlignment="1">
      <alignment vertical="center"/>
    </xf>
    <xf numFmtId="0" fontId="2" fillId="5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/>
    </xf>
    <xf numFmtId="1" fontId="1" fillId="8" borderId="1" xfId="0" applyNumberFormat="1" applyFont="1" applyFill="1" applyBorder="1" applyAlignment="1">
      <alignment horizontal="center"/>
    </xf>
    <xf numFmtId="0" fontId="5" fillId="9" borderId="1" xfId="0" applyFont="1" applyFill="1" applyBorder="1" applyAlignment="1">
      <alignment wrapText="1"/>
    </xf>
    <xf numFmtId="167" fontId="1" fillId="0" borderId="1" xfId="1" applyNumberFormat="1" applyFont="1" applyBorder="1" applyAlignment="1">
      <alignment horizontal="center"/>
    </xf>
    <xf numFmtId="168" fontId="1" fillId="0" borderId="1" xfId="3" applyNumberFormat="1" applyFont="1" applyBorder="1" applyAlignment="1">
      <alignment horizontal="center"/>
    </xf>
    <xf numFmtId="168" fontId="1" fillId="0" borderId="1" xfId="1" applyNumberFormat="1" applyFont="1" applyBorder="1" applyAlignment="1">
      <alignment horizontal="center"/>
    </xf>
    <xf numFmtId="10" fontId="1" fillId="0" borderId="1" xfId="2" applyNumberFormat="1" applyFont="1" applyBorder="1"/>
    <xf numFmtId="168" fontId="1" fillId="0" borderId="1" xfId="1" applyNumberFormat="1" applyFont="1" applyBorder="1" applyAlignment="1">
      <alignment vertical="center"/>
    </xf>
    <xf numFmtId="168" fontId="1" fillId="8" borderId="1" xfId="1" applyNumberFormat="1" applyFont="1" applyFill="1" applyBorder="1" applyAlignment="1">
      <alignment horizontal="center"/>
    </xf>
    <xf numFmtId="10" fontId="1" fillId="8" borderId="1" xfId="2" applyNumberFormat="1" applyFont="1" applyFill="1" applyBorder="1" applyAlignment="1">
      <alignment horizontal="center"/>
    </xf>
    <xf numFmtId="168" fontId="5" fillId="9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4">
    <cellStyle name="Comma" xfId="1" builtinId="3"/>
    <cellStyle name="Currency" xfId="3" builtinId="4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6"/>
  <sheetViews>
    <sheetView showGridLines="0" zoomScale="80" zoomScaleNormal="80" workbookViewId="0"/>
  </sheetViews>
  <sheetFormatPr baseColWidth="10" defaultColWidth="8.6640625" defaultRowHeight="13" x14ac:dyDescent="0.15"/>
  <cols>
    <col min="1" max="1" width="8.6640625" style="1"/>
    <col min="2" max="2" width="16.6640625" style="1" customWidth="1"/>
    <col min="3" max="16384" width="8.6640625" style="1"/>
  </cols>
  <sheetData>
    <row r="2" spans="2:9" s="11" customFormat="1" x14ac:dyDescent="0.15">
      <c r="B2" s="12" t="s">
        <v>56</v>
      </c>
    </row>
    <row r="4" spans="2:9" x14ac:dyDescent="0.15">
      <c r="B4" s="36" t="s">
        <v>15</v>
      </c>
      <c r="C4" s="36"/>
      <c r="D4" s="36"/>
      <c r="E4" s="36"/>
      <c r="F4" s="36"/>
      <c r="G4" s="36"/>
    </row>
    <row r="6" spans="2:9" ht="28" x14ac:dyDescent="0.15">
      <c r="B6" s="5" t="s">
        <v>14</v>
      </c>
      <c r="C6" s="6" t="s">
        <v>17</v>
      </c>
      <c r="D6" s="6" t="s">
        <v>16</v>
      </c>
      <c r="E6" s="6" t="s">
        <v>18</v>
      </c>
      <c r="F6" s="6" t="s">
        <v>19</v>
      </c>
      <c r="G6" s="6" t="s">
        <v>82</v>
      </c>
    </row>
    <row r="7" spans="2:9" x14ac:dyDescent="0.15">
      <c r="B7" s="7" t="s">
        <v>80</v>
      </c>
      <c r="C7" s="9">
        <v>0.03</v>
      </c>
      <c r="D7" s="9">
        <v>2.5000000000000001E-2</v>
      </c>
      <c r="E7" s="9">
        <v>0.02</v>
      </c>
      <c r="F7" s="9">
        <v>0.01</v>
      </c>
      <c r="G7" s="9">
        <v>5.0000000000000001E-3</v>
      </c>
    </row>
    <row r="8" spans="2:9" x14ac:dyDescent="0.15">
      <c r="B8" s="7" t="s">
        <v>20</v>
      </c>
      <c r="C8" s="9">
        <v>0.04</v>
      </c>
      <c r="D8" s="9">
        <v>0.03</v>
      </c>
      <c r="E8" s="9">
        <v>2.5000000000000001E-2</v>
      </c>
      <c r="F8" s="9">
        <v>0.02</v>
      </c>
      <c r="G8" s="9">
        <v>0.01</v>
      </c>
    </row>
    <row r="9" spans="2:9" x14ac:dyDescent="0.15">
      <c r="B9" s="7" t="s">
        <v>21</v>
      </c>
      <c r="C9" s="9">
        <v>0.05</v>
      </c>
      <c r="D9" s="9">
        <v>0.04</v>
      </c>
      <c r="E9" s="9">
        <v>0.03</v>
      </c>
      <c r="F9" s="9">
        <v>0.02</v>
      </c>
      <c r="G9" s="9">
        <v>0.01</v>
      </c>
    </row>
    <row r="10" spans="2:9" x14ac:dyDescent="0.15">
      <c r="B10" s="7" t="s">
        <v>22</v>
      </c>
      <c r="C10" s="9">
        <v>0.08</v>
      </c>
      <c r="D10" s="9">
        <v>7.0000000000000007E-2</v>
      </c>
      <c r="E10" s="9">
        <v>0.06</v>
      </c>
      <c r="F10" s="9">
        <v>0.05</v>
      </c>
      <c r="G10" s="9">
        <v>0.04</v>
      </c>
    </row>
    <row r="11" spans="2:9" x14ac:dyDescent="0.15">
      <c r="B11" s="7" t="s">
        <v>81</v>
      </c>
      <c r="C11" s="9">
        <v>0.11</v>
      </c>
      <c r="D11" s="9">
        <v>0.08</v>
      </c>
      <c r="E11" s="9">
        <v>7.0000000000000007E-2</v>
      </c>
      <c r="F11" s="9">
        <v>0.06</v>
      </c>
      <c r="G11" s="9">
        <v>0.05</v>
      </c>
    </row>
    <row r="14" spans="2:9" x14ac:dyDescent="0.15">
      <c r="B14" s="37" t="s">
        <v>23</v>
      </c>
      <c r="C14" s="37"/>
      <c r="D14" s="37"/>
      <c r="E14" s="39">
        <v>-0.15</v>
      </c>
      <c r="F14" s="39"/>
      <c r="G14" s="39"/>
      <c r="I14" s="4" t="s">
        <v>28</v>
      </c>
    </row>
    <row r="15" spans="2:9" x14ac:dyDescent="0.15">
      <c r="B15" s="3"/>
    </row>
    <row r="16" spans="2:9" x14ac:dyDescent="0.15">
      <c r="B16" s="38" t="s">
        <v>25</v>
      </c>
      <c r="C16" s="38"/>
      <c r="D16" s="38"/>
      <c r="E16" s="39">
        <v>0.05</v>
      </c>
      <c r="F16" s="39"/>
      <c r="G16" s="39"/>
      <c r="I16" s="4" t="s">
        <v>27</v>
      </c>
    </row>
    <row r="18" spans="1:7" x14ac:dyDescent="0.15">
      <c r="B18" s="38" t="s">
        <v>26</v>
      </c>
      <c r="C18" s="38"/>
      <c r="D18" s="38"/>
      <c r="E18" s="40">
        <v>0</v>
      </c>
      <c r="F18" s="40"/>
      <c r="G18" s="40"/>
    </row>
    <row r="21" spans="1:7" s="11" customFormat="1" x14ac:dyDescent="0.15">
      <c r="B21" s="12" t="s">
        <v>55</v>
      </c>
    </row>
    <row r="24" spans="1:7" x14ac:dyDescent="0.15">
      <c r="B24" s="8" t="s">
        <v>29</v>
      </c>
    </row>
    <row r="25" spans="1:7" x14ac:dyDescent="0.15">
      <c r="A25" s="2">
        <v>1</v>
      </c>
      <c r="B25" s="1" t="s">
        <v>30</v>
      </c>
    </row>
    <row r="26" spans="1:7" x14ac:dyDescent="0.15">
      <c r="A26" s="2">
        <f>A25+1</f>
        <v>2</v>
      </c>
      <c r="B26" s="1" t="s">
        <v>31</v>
      </c>
    </row>
    <row r="27" spans="1:7" x14ac:dyDescent="0.15">
      <c r="A27" s="2">
        <f t="shared" ref="A27:A36" si="0">A26+1</f>
        <v>3</v>
      </c>
      <c r="B27" s="1" t="s">
        <v>32</v>
      </c>
    </row>
    <row r="28" spans="1:7" x14ac:dyDescent="0.15">
      <c r="A28" s="2">
        <f t="shared" si="0"/>
        <v>4</v>
      </c>
      <c r="B28" s="1" t="s">
        <v>33</v>
      </c>
    </row>
    <row r="29" spans="1:7" x14ac:dyDescent="0.15">
      <c r="A29" s="2">
        <f t="shared" si="0"/>
        <v>5</v>
      </c>
      <c r="B29" s="1" t="s">
        <v>34</v>
      </c>
    </row>
    <row r="30" spans="1:7" x14ac:dyDescent="0.15">
      <c r="A30" s="2">
        <f t="shared" si="0"/>
        <v>6</v>
      </c>
      <c r="B30" s="1" t="s">
        <v>35</v>
      </c>
    </row>
    <row r="31" spans="1:7" x14ac:dyDescent="0.15">
      <c r="A31" s="2">
        <f t="shared" si="0"/>
        <v>7</v>
      </c>
      <c r="B31" s="1" t="s">
        <v>36</v>
      </c>
    </row>
    <row r="32" spans="1:7" x14ac:dyDescent="0.15">
      <c r="A32" s="2">
        <f t="shared" si="0"/>
        <v>8</v>
      </c>
      <c r="B32" s="1" t="s">
        <v>37</v>
      </c>
    </row>
    <row r="33" spans="1:2" x14ac:dyDescent="0.15">
      <c r="A33" s="2">
        <f t="shared" si="0"/>
        <v>9</v>
      </c>
      <c r="B33" s="1" t="s">
        <v>38</v>
      </c>
    </row>
    <row r="34" spans="1:2" x14ac:dyDescent="0.15">
      <c r="A34" s="2">
        <f t="shared" si="0"/>
        <v>10</v>
      </c>
      <c r="B34" s="1" t="s">
        <v>48</v>
      </c>
    </row>
    <row r="35" spans="1:2" x14ac:dyDescent="0.15">
      <c r="A35" s="2">
        <f t="shared" si="0"/>
        <v>11</v>
      </c>
      <c r="B35" s="1" t="s">
        <v>50</v>
      </c>
    </row>
    <row r="36" spans="1:2" x14ac:dyDescent="0.15">
      <c r="A36" s="2">
        <f t="shared" si="0"/>
        <v>12</v>
      </c>
      <c r="B36" s="1" t="s">
        <v>51</v>
      </c>
    </row>
  </sheetData>
  <mergeCells count="7">
    <mergeCell ref="B4:G4"/>
    <mergeCell ref="B14:D14"/>
    <mergeCell ref="B16:D16"/>
    <mergeCell ref="B18:D18"/>
    <mergeCell ref="E14:G14"/>
    <mergeCell ref="E16:G16"/>
    <mergeCell ref="E18:G18"/>
  </mergeCells>
  <conditionalFormatting sqref="C7:G11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dataValidations count="3">
    <dataValidation allowBlank="1" showInputMessage="1" showErrorMessage="1" promptTitle="HPI Movement" prompt="Input HPI movement as 10% or -10%." sqref="E14:G14" xr:uid="{6B0AAFD0-6713-42EA-9AEE-922D409B02F7}"/>
    <dataValidation allowBlank="1" showInputMessage="1" showErrorMessage="1" promptTitle="Expense Loading" prompt="Input expense loading as a percentage. For example, 5%._x000a_" sqref="E16:G16" xr:uid="{C886C750-B359-4D26-AF21-B3B539C8F4A3}"/>
    <dataValidation allowBlank="1" showInputMessage="1" showErrorMessage="1" promptTitle="Recovery Lag" prompt="Recovery Lag to be input in months. _x000a_" sqref="E18:G18" xr:uid="{ABA820B4-F8DF-464A-BB47-B38C3AF2CB8F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333B4-46A0-438D-90AC-5F6156EBB844}">
  <dimension ref="B2:F40"/>
  <sheetViews>
    <sheetView showGridLines="0" topLeftCell="A14" zoomScale="80" zoomScaleNormal="80" workbookViewId="0">
      <selection activeCell="C11" sqref="C11:C16"/>
    </sheetView>
  </sheetViews>
  <sheetFormatPr baseColWidth="10" defaultColWidth="8.6640625" defaultRowHeight="13" x14ac:dyDescent="0.15"/>
  <cols>
    <col min="1" max="1" width="8.6640625" style="1"/>
    <col min="2" max="2" width="23.6640625" style="1" customWidth="1"/>
    <col min="3" max="3" width="30.5" style="1" customWidth="1"/>
    <col min="4" max="4" width="8.6640625" style="1"/>
    <col min="5" max="5" width="26.6640625" style="1" customWidth="1"/>
    <col min="6" max="6" width="26.1640625" style="1" bestFit="1" customWidth="1"/>
    <col min="7" max="16384" width="8.6640625" style="1"/>
  </cols>
  <sheetData>
    <row r="2" spans="2:3" s="11" customFormat="1" x14ac:dyDescent="0.15">
      <c r="B2" s="12" t="s">
        <v>57</v>
      </c>
    </row>
    <row r="4" spans="2:3" x14ac:dyDescent="0.15">
      <c r="B4" s="8" t="s">
        <v>39</v>
      </c>
    </row>
    <row r="6" spans="2:3" x14ac:dyDescent="0.15">
      <c r="B6" s="16" t="s">
        <v>40</v>
      </c>
      <c r="C6" s="13" t="s">
        <v>53</v>
      </c>
    </row>
    <row r="7" spans="2:3" x14ac:dyDescent="0.15">
      <c r="B7" s="16" t="s">
        <v>41</v>
      </c>
      <c r="C7" s="13">
        <v>28716</v>
      </c>
    </row>
    <row r="8" spans="2:3" x14ac:dyDescent="0.15">
      <c r="B8" s="16" t="s">
        <v>42</v>
      </c>
      <c r="C8" s="14">
        <v>45658</v>
      </c>
    </row>
    <row r="9" spans="2:3" x14ac:dyDescent="0.15">
      <c r="B9" s="16" t="s">
        <v>43</v>
      </c>
      <c r="C9" s="14">
        <v>49674</v>
      </c>
    </row>
    <row r="10" spans="2:3" x14ac:dyDescent="0.15">
      <c r="B10" s="16" t="s">
        <v>44</v>
      </c>
      <c r="C10" s="13" t="s">
        <v>54</v>
      </c>
    </row>
    <row r="11" spans="2:3" x14ac:dyDescent="0.15">
      <c r="B11" s="16" t="s">
        <v>45</v>
      </c>
      <c r="C11" s="15">
        <v>0.25</v>
      </c>
    </row>
    <row r="12" spans="2:3" x14ac:dyDescent="0.15">
      <c r="B12" s="16" t="s">
        <v>46</v>
      </c>
      <c r="C12" s="15">
        <v>0.2</v>
      </c>
    </row>
    <row r="13" spans="2:3" x14ac:dyDescent="0.15">
      <c r="B13" s="16" t="s">
        <v>47</v>
      </c>
      <c r="C13" s="15">
        <v>0.18</v>
      </c>
    </row>
    <row r="14" spans="2:3" x14ac:dyDescent="0.15">
      <c r="B14" s="16" t="s">
        <v>49</v>
      </c>
      <c r="C14" s="15">
        <v>1</v>
      </c>
    </row>
    <row r="15" spans="2:3" x14ac:dyDescent="0.15">
      <c r="B15" s="16" t="s">
        <v>52</v>
      </c>
      <c r="C15" s="15">
        <v>0.02</v>
      </c>
    </row>
    <row r="16" spans="2:3" x14ac:dyDescent="0.15">
      <c r="B16" s="16" t="s">
        <v>104</v>
      </c>
      <c r="C16" s="15">
        <v>0.01</v>
      </c>
    </row>
    <row r="20" spans="2:6" s="11" customFormat="1" x14ac:dyDescent="0.15">
      <c r="B20" s="12" t="s">
        <v>93</v>
      </c>
    </row>
    <row r="21" spans="2:6" x14ac:dyDescent="0.15">
      <c r="B21" s="20"/>
    </row>
    <row r="22" spans="2:6" x14ac:dyDescent="0.15">
      <c r="B22" s="4" t="s">
        <v>98</v>
      </c>
    </row>
    <row r="24" spans="2:6" x14ac:dyDescent="0.15">
      <c r="B24" s="41" t="s">
        <v>96</v>
      </c>
      <c r="C24" s="41"/>
      <c r="E24" s="41" t="s">
        <v>97</v>
      </c>
      <c r="F24" s="41"/>
    </row>
    <row r="25" spans="2:6" x14ac:dyDescent="0.15">
      <c r="B25" s="18" t="s">
        <v>94</v>
      </c>
      <c r="C25" s="18" t="s">
        <v>95</v>
      </c>
      <c r="E25" s="18" t="s">
        <v>94</v>
      </c>
      <c r="F25" s="18" t="s">
        <v>95</v>
      </c>
    </row>
    <row r="26" spans="2:6" x14ac:dyDescent="0.15">
      <c r="B26" s="21">
        <v>1</v>
      </c>
      <c r="C26" s="22">
        <v>0.01</v>
      </c>
      <c r="E26" s="21">
        <v>1</v>
      </c>
      <c r="F26" s="22">
        <v>9.0909090909090912E-2</v>
      </c>
    </row>
    <row r="27" spans="2:6" x14ac:dyDescent="0.15">
      <c r="B27" s="21">
        <f>B26+1</f>
        <v>2</v>
      </c>
      <c r="C27" s="22">
        <v>0.15</v>
      </c>
      <c r="E27" s="21">
        <f>E26+1</f>
        <v>2</v>
      </c>
      <c r="F27" s="22">
        <v>9.0909090909090912E-2</v>
      </c>
    </row>
    <row r="28" spans="2:6" x14ac:dyDescent="0.15">
      <c r="B28" s="21">
        <f t="shared" ref="B28:B40" si="0">B27+1</f>
        <v>3</v>
      </c>
      <c r="C28" s="22">
        <v>0.2</v>
      </c>
      <c r="E28" s="21">
        <f t="shared" ref="E28:E40" si="1">E27+1</f>
        <v>3</v>
      </c>
      <c r="F28" s="22">
        <v>9.0909090909090912E-2</v>
      </c>
    </row>
    <row r="29" spans="2:6" x14ac:dyDescent="0.15">
      <c r="B29" s="21">
        <f t="shared" si="0"/>
        <v>4</v>
      </c>
      <c r="C29" s="22">
        <v>0.22</v>
      </c>
      <c r="E29" s="21">
        <f t="shared" si="1"/>
        <v>4</v>
      </c>
      <c r="F29" s="22">
        <v>9.0909090909090912E-2</v>
      </c>
    </row>
    <row r="30" spans="2:6" x14ac:dyDescent="0.15">
      <c r="B30" s="21">
        <f t="shared" si="0"/>
        <v>5</v>
      </c>
      <c r="C30" s="22">
        <v>0.16</v>
      </c>
      <c r="E30" s="21">
        <f t="shared" si="1"/>
        <v>5</v>
      </c>
      <c r="F30" s="22">
        <v>9.0909090909090912E-2</v>
      </c>
    </row>
    <row r="31" spans="2:6" x14ac:dyDescent="0.15">
      <c r="B31" s="21">
        <f t="shared" si="0"/>
        <v>6</v>
      </c>
      <c r="C31" s="22">
        <v>0.12</v>
      </c>
      <c r="E31" s="21">
        <f t="shared" si="1"/>
        <v>6</v>
      </c>
      <c r="F31" s="22">
        <v>9.0909090909090912E-2</v>
      </c>
    </row>
    <row r="32" spans="2:6" x14ac:dyDescent="0.15">
      <c r="B32" s="21">
        <f t="shared" si="0"/>
        <v>7</v>
      </c>
      <c r="C32" s="22">
        <v>0.08</v>
      </c>
      <c r="E32" s="21">
        <f t="shared" si="1"/>
        <v>7</v>
      </c>
      <c r="F32" s="22">
        <v>9.0909090909090912E-2</v>
      </c>
    </row>
    <row r="33" spans="2:6" x14ac:dyDescent="0.15">
      <c r="B33" s="21">
        <f t="shared" si="0"/>
        <v>8</v>
      </c>
      <c r="C33" s="22">
        <v>0.04</v>
      </c>
      <c r="E33" s="21">
        <f t="shared" si="1"/>
        <v>8</v>
      </c>
      <c r="F33" s="22">
        <v>9.0909090909090912E-2</v>
      </c>
    </row>
    <row r="34" spans="2:6" x14ac:dyDescent="0.15">
      <c r="B34" s="21">
        <f t="shared" si="0"/>
        <v>9</v>
      </c>
      <c r="C34" s="22">
        <v>0.01</v>
      </c>
      <c r="E34" s="21">
        <f t="shared" si="1"/>
        <v>9</v>
      </c>
      <c r="F34" s="22">
        <v>9.0909090909090912E-2</v>
      </c>
    </row>
    <row r="35" spans="2:6" x14ac:dyDescent="0.15">
      <c r="B35" s="21">
        <f t="shared" si="0"/>
        <v>10</v>
      </c>
      <c r="C35" s="22">
        <v>0.01</v>
      </c>
      <c r="E35" s="21">
        <f t="shared" si="1"/>
        <v>10</v>
      </c>
      <c r="F35" s="22">
        <v>9.0909090909090912E-2</v>
      </c>
    </row>
    <row r="36" spans="2:6" x14ac:dyDescent="0.15">
      <c r="B36" s="21">
        <f t="shared" si="0"/>
        <v>11</v>
      </c>
      <c r="C36" s="22">
        <v>0</v>
      </c>
      <c r="E36" s="21">
        <f t="shared" si="1"/>
        <v>11</v>
      </c>
      <c r="F36" s="22">
        <v>9.0909090909090912E-2</v>
      </c>
    </row>
    <row r="37" spans="2:6" x14ac:dyDescent="0.15">
      <c r="B37" s="21">
        <f t="shared" si="0"/>
        <v>12</v>
      </c>
      <c r="C37" s="22">
        <v>0</v>
      </c>
      <c r="E37" s="21">
        <f t="shared" si="1"/>
        <v>12</v>
      </c>
      <c r="F37" s="22">
        <v>0</v>
      </c>
    </row>
    <row r="38" spans="2:6" x14ac:dyDescent="0.15">
      <c r="B38" s="21">
        <f t="shared" si="0"/>
        <v>13</v>
      </c>
      <c r="C38" s="22">
        <v>0</v>
      </c>
      <c r="E38" s="21">
        <f t="shared" si="1"/>
        <v>13</v>
      </c>
      <c r="F38" s="22">
        <v>0</v>
      </c>
    </row>
    <row r="39" spans="2:6" x14ac:dyDescent="0.15">
      <c r="B39" s="21">
        <f t="shared" si="0"/>
        <v>14</v>
      </c>
      <c r="C39" s="22">
        <v>0</v>
      </c>
      <c r="E39" s="21">
        <f t="shared" si="1"/>
        <v>14</v>
      </c>
      <c r="F39" s="22">
        <v>0</v>
      </c>
    </row>
    <row r="40" spans="2:6" x14ac:dyDescent="0.15">
      <c r="B40" s="21">
        <f t="shared" si="0"/>
        <v>15</v>
      </c>
      <c r="C40" s="22">
        <v>0</v>
      </c>
      <c r="E40" s="21">
        <f t="shared" si="1"/>
        <v>15</v>
      </c>
      <c r="F40" s="22">
        <v>0</v>
      </c>
    </row>
  </sheetData>
  <mergeCells count="2">
    <mergeCell ref="B24:C24"/>
    <mergeCell ref="E24:F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3B368-5D03-4135-902D-9B19C687BBBB}">
  <dimension ref="A2:P514"/>
  <sheetViews>
    <sheetView showGridLines="0" zoomScale="80" zoomScaleNormal="80" workbookViewId="0"/>
  </sheetViews>
  <sheetFormatPr baseColWidth="10" defaultColWidth="8.6640625" defaultRowHeight="13" x14ac:dyDescent="0.15"/>
  <cols>
    <col min="1" max="1" width="7.6640625" style="1" bestFit="1" customWidth="1"/>
    <col min="2" max="2" width="22.33203125" style="1" bestFit="1" customWidth="1"/>
    <col min="3" max="3" width="11.33203125" style="1" customWidth="1"/>
    <col min="4" max="4" width="19.1640625" style="1" bestFit="1" customWidth="1"/>
    <col min="5" max="5" width="11.33203125" style="1" customWidth="1"/>
    <col min="6" max="6" width="20.1640625" style="1" bestFit="1" customWidth="1"/>
    <col min="7" max="7" width="20" style="1" bestFit="1" customWidth="1"/>
    <col min="8" max="8" width="20.83203125" style="1" bestFit="1" customWidth="1"/>
    <col min="9" max="9" width="11.6640625" style="1" bestFit="1" customWidth="1"/>
    <col min="10" max="10" width="15.6640625" style="1" bestFit="1" customWidth="1"/>
    <col min="11" max="12" width="10.5" style="1" customWidth="1"/>
    <col min="13" max="13" width="11.5" style="1" bestFit="1" customWidth="1"/>
    <col min="14" max="14" width="12.83203125" style="1" bestFit="1" customWidth="1"/>
    <col min="15" max="15" width="11.83203125" style="1" bestFit="1" customWidth="1"/>
    <col min="16" max="16" width="13.1640625" style="1" bestFit="1" customWidth="1"/>
    <col min="17" max="16384" width="8.6640625" style="1"/>
  </cols>
  <sheetData>
    <row r="2" spans="1:16" s="11" customFormat="1" x14ac:dyDescent="0.15">
      <c r="B2" s="12" t="s">
        <v>75</v>
      </c>
    </row>
    <row r="4" spans="1:16" x14ac:dyDescent="0.15">
      <c r="A4" s="18" t="s">
        <v>0</v>
      </c>
      <c r="B4" s="18" t="s">
        <v>1</v>
      </c>
      <c r="C4" s="18" t="s">
        <v>2</v>
      </c>
      <c r="D4" s="18" t="s">
        <v>58</v>
      </c>
      <c r="E4" s="18" t="s">
        <v>3</v>
      </c>
      <c r="F4" s="18" t="s">
        <v>4</v>
      </c>
      <c r="G4" s="18" t="s">
        <v>5</v>
      </c>
      <c r="H4" s="18" t="s">
        <v>24</v>
      </c>
      <c r="I4" s="18" t="s">
        <v>6</v>
      </c>
      <c r="J4" s="18" t="s">
        <v>7</v>
      </c>
      <c r="K4" s="18" t="s">
        <v>8</v>
      </c>
      <c r="L4" s="18" t="s">
        <v>9</v>
      </c>
      <c r="M4" s="18" t="s">
        <v>10</v>
      </c>
      <c r="N4" s="18" t="s">
        <v>11</v>
      </c>
      <c r="O4" s="18" t="s">
        <v>12</v>
      </c>
      <c r="P4" s="18" t="s">
        <v>13</v>
      </c>
    </row>
    <row r="5" spans="1:16" x14ac:dyDescent="0.15">
      <c r="A5" s="7">
        <v>1001</v>
      </c>
      <c r="B5" s="19">
        <v>45384</v>
      </c>
      <c r="C5" s="7">
        <v>360</v>
      </c>
      <c r="D5" s="19">
        <v>45747</v>
      </c>
      <c r="E5" s="7">
        <v>11</v>
      </c>
      <c r="F5" s="30">
        <v>112728</v>
      </c>
      <c r="G5" s="30">
        <v>105868.35138830231</v>
      </c>
      <c r="H5" s="28">
        <v>125253.33333333333</v>
      </c>
      <c r="I5" s="7">
        <v>90</v>
      </c>
      <c r="J5" s="7" t="s">
        <v>73</v>
      </c>
      <c r="K5" s="7">
        <v>752</v>
      </c>
      <c r="L5" s="7">
        <v>33</v>
      </c>
      <c r="M5" s="7" t="s">
        <v>59</v>
      </c>
      <c r="N5" s="10">
        <v>5.265980257133572E-2</v>
      </c>
      <c r="O5" s="7">
        <v>0.25</v>
      </c>
      <c r="P5" s="7">
        <v>0.34</v>
      </c>
    </row>
    <row r="6" spans="1:16" x14ac:dyDescent="0.15">
      <c r="A6" s="7">
        <v>1002</v>
      </c>
      <c r="B6" s="19">
        <v>45346</v>
      </c>
      <c r="C6" s="7">
        <v>360</v>
      </c>
      <c r="D6" s="19">
        <v>45747</v>
      </c>
      <c r="E6" s="7">
        <v>13</v>
      </c>
      <c r="F6" s="30">
        <v>633688</v>
      </c>
      <c r="G6" s="30">
        <v>588245.82276764896</v>
      </c>
      <c r="H6" s="28">
        <v>667040</v>
      </c>
      <c r="I6" s="7">
        <v>95</v>
      </c>
      <c r="J6" s="7" t="s">
        <v>63</v>
      </c>
      <c r="K6" s="7">
        <v>662</v>
      </c>
      <c r="L6" s="7">
        <v>16</v>
      </c>
      <c r="M6" s="7" t="s">
        <v>59</v>
      </c>
      <c r="N6" s="10">
        <v>5.240579655835461E-2</v>
      </c>
      <c r="O6" s="7">
        <v>0.3</v>
      </c>
      <c r="P6" s="7">
        <v>0.38</v>
      </c>
    </row>
    <row r="7" spans="1:16" x14ac:dyDescent="0.15">
      <c r="A7" s="7">
        <v>1003</v>
      </c>
      <c r="B7" s="19">
        <v>45293</v>
      </c>
      <c r="C7" s="7">
        <v>360</v>
      </c>
      <c r="D7" s="19">
        <v>45747</v>
      </c>
      <c r="E7" s="7">
        <v>14</v>
      </c>
      <c r="F7" s="30">
        <v>413794</v>
      </c>
      <c r="G7" s="30">
        <v>372485.21648156084</v>
      </c>
      <c r="H7" s="28">
        <v>440206.38297872344</v>
      </c>
      <c r="I7" s="7">
        <v>94</v>
      </c>
      <c r="J7" s="7" t="s">
        <v>67</v>
      </c>
      <c r="K7" s="7">
        <v>751</v>
      </c>
      <c r="L7" s="7">
        <v>14</v>
      </c>
      <c r="M7" s="7" t="s">
        <v>59</v>
      </c>
      <c r="N7" s="10">
        <v>7.701544884898992E-2</v>
      </c>
      <c r="O7" s="7">
        <v>0.25</v>
      </c>
      <c r="P7" s="7">
        <v>0.25</v>
      </c>
    </row>
    <row r="8" spans="1:16" x14ac:dyDescent="0.15">
      <c r="A8" s="7">
        <v>1004</v>
      </c>
      <c r="B8" s="19">
        <v>45451</v>
      </c>
      <c r="C8" s="7">
        <v>360</v>
      </c>
      <c r="D8" s="19">
        <v>45747</v>
      </c>
      <c r="E8" s="7">
        <v>9</v>
      </c>
      <c r="F8" s="30">
        <v>418961</v>
      </c>
      <c r="G8" s="30">
        <v>397283.41862113774</v>
      </c>
      <c r="H8" s="28">
        <v>470742.69662921346</v>
      </c>
      <c r="I8" s="7">
        <v>89</v>
      </c>
      <c r="J8" s="7" t="s">
        <v>60</v>
      </c>
      <c r="K8" s="7">
        <v>831</v>
      </c>
      <c r="L8" s="7">
        <v>27</v>
      </c>
      <c r="M8" s="7" t="s">
        <v>59</v>
      </c>
      <c r="N8" s="10">
        <v>5.6130664695896684E-2</v>
      </c>
      <c r="O8" s="7">
        <v>0.12</v>
      </c>
      <c r="P8" s="7">
        <v>0.36</v>
      </c>
    </row>
    <row r="9" spans="1:16" x14ac:dyDescent="0.15">
      <c r="A9" s="7">
        <v>1005</v>
      </c>
      <c r="B9" s="19">
        <v>45388</v>
      </c>
      <c r="C9" s="7">
        <v>360</v>
      </c>
      <c r="D9" s="19">
        <v>45747</v>
      </c>
      <c r="E9" s="7">
        <v>11</v>
      </c>
      <c r="F9" s="30">
        <v>566194</v>
      </c>
      <c r="G9" s="30">
        <v>525198.66598467366</v>
      </c>
      <c r="H9" s="28">
        <v>583705.15463917528</v>
      </c>
      <c r="I9" s="7">
        <v>97</v>
      </c>
      <c r="J9" s="7" t="s">
        <v>65</v>
      </c>
      <c r="K9" s="7">
        <v>702</v>
      </c>
      <c r="L9" s="7">
        <v>43</v>
      </c>
      <c r="M9" s="7" t="s">
        <v>59</v>
      </c>
      <c r="N9" s="10">
        <v>6.8944386865701937E-2</v>
      </c>
      <c r="O9" s="7">
        <v>0.35</v>
      </c>
      <c r="P9" s="7">
        <v>0.2</v>
      </c>
    </row>
    <row r="10" spans="1:16" x14ac:dyDescent="0.15">
      <c r="A10" s="7">
        <v>1006</v>
      </c>
      <c r="B10" s="19">
        <v>45351</v>
      </c>
      <c r="C10" s="7">
        <v>360</v>
      </c>
      <c r="D10" s="19">
        <v>45747</v>
      </c>
      <c r="E10" s="7">
        <v>13</v>
      </c>
      <c r="F10" s="30">
        <v>744166</v>
      </c>
      <c r="G10" s="30">
        <v>678022.38415821793</v>
      </c>
      <c r="H10" s="28">
        <v>865309.30232558143</v>
      </c>
      <c r="I10" s="7">
        <v>86</v>
      </c>
      <c r="J10" s="7" t="s">
        <v>65</v>
      </c>
      <c r="K10" s="7">
        <v>609</v>
      </c>
      <c r="L10" s="7">
        <v>7</v>
      </c>
      <c r="M10" s="7" t="s">
        <v>59</v>
      </c>
      <c r="N10" s="10">
        <v>7.2726677284583943E-2</v>
      </c>
      <c r="O10" s="7">
        <v>0.12</v>
      </c>
      <c r="P10" s="7">
        <v>0.31</v>
      </c>
    </row>
    <row r="11" spans="1:16" x14ac:dyDescent="0.15">
      <c r="A11" s="7">
        <v>1007</v>
      </c>
      <c r="B11" s="19">
        <v>45321</v>
      </c>
      <c r="C11" s="7">
        <v>360</v>
      </c>
      <c r="D11" s="19">
        <v>45747</v>
      </c>
      <c r="E11" s="7">
        <v>14</v>
      </c>
      <c r="F11" s="30">
        <v>690899</v>
      </c>
      <c r="G11" s="30">
        <v>628494.69217368844</v>
      </c>
      <c r="H11" s="28">
        <v>712267.01030927838</v>
      </c>
      <c r="I11" s="7">
        <v>97</v>
      </c>
      <c r="J11" s="7" t="s">
        <v>61</v>
      </c>
      <c r="K11" s="7">
        <v>837</v>
      </c>
      <c r="L11" s="7">
        <v>35</v>
      </c>
      <c r="M11" s="7" t="s">
        <v>59</v>
      </c>
      <c r="N11" s="10">
        <v>6.6983229697617344E-2</v>
      </c>
      <c r="O11" s="7">
        <v>0.35</v>
      </c>
      <c r="P11" s="7">
        <v>0.25</v>
      </c>
    </row>
    <row r="12" spans="1:16" x14ac:dyDescent="0.15">
      <c r="A12" s="7">
        <v>1008</v>
      </c>
      <c r="B12" s="19">
        <v>45311</v>
      </c>
      <c r="C12" s="7">
        <v>360</v>
      </c>
      <c r="D12" s="19">
        <v>45747</v>
      </c>
      <c r="E12" s="7">
        <v>14</v>
      </c>
      <c r="F12" s="30">
        <v>221897</v>
      </c>
      <c r="G12" s="30">
        <v>201544.60970134824</v>
      </c>
      <c r="H12" s="28">
        <v>267345.78313253011</v>
      </c>
      <c r="I12" s="7">
        <v>83</v>
      </c>
      <c r="J12" s="7" t="s">
        <v>68</v>
      </c>
      <c r="K12" s="7">
        <v>846</v>
      </c>
      <c r="L12" s="7">
        <v>11</v>
      </c>
      <c r="M12" s="7" t="s">
        <v>59</v>
      </c>
      <c r="N12" s="10">
        <v>6.8482555364785258E-2</v>
      </c>
      <c r="O12" s="7">
        <v>0.12</v>
      </c>
      <c r="P12" s="7">
        <v>0.43</v>
      </c>
    </row>
    <row r="13" spans="1:16" x14ac:dyDescent="0.15">
      <c r="A13" s="7">
        <v>1009</v>
      </c>
      <c r="B13" s="19">
        <v>45393</v>
      </c>
      <c r="C13" s="7">
        <v>360</v>
      </c>
      <c r="D13" s="19">
        <v>45747</v>
      </c>
      <c r="E13" s="7">
        <v>11</v>
      </c>
      <c r="F13" s="30">
        <v>327092</v>
      </c>
      <c r="G13" s="30">
        <v>304977.36777045298</v>
      </c>
      <c r="H13" s="28">
        <v>384814.11764705885</v>
      </c>
      <c r="I13" s="7">
        <v>85</v>
      </c>
      <c r="J13" s="7" t="s">
        <v>70</v>
      </c>
      <c r="K13" s="7">
        <v>721</v>
      </c>
      <c r="L13" s="7">
        <v>21</v>
      </c>
      <c r="M13" s="7" t="s">
        <v>59</v>
      </c>
      <c r="N13" s="10">
        <v>6.2333504997443681E-2</v>
      </c>
      <c r="O13" s="7">
        <v>0.12</v>
      </c>
      <c r="P13" s="7">
        <v>0.39</v>
      </c>
    </row>
    <row r="14" spans="1:16" x14ac:dyDescent="0.15">
      <c r="A14" s="7">
        <v>1010</v>
      </c>
      <c r="B14" s="19">
        <v>45374</v>
      </c>
      <c r="C14" s="7">
        <v>360</v>
      </c>
      <c r="D14" s="19">
        <v>45747</v>
      </c>
      <c r="E14" s="7">
        <v>12</v>
      </c>
      <c r="F14" s="30">
        <v>131888</v>
      </c>
      <c r="G14" s="30">
        <v>120929.77931356592</v>
      </c>
      <c r="H14" s="28">
        <v>140306.38297872341</v>
      </c>
      <c r="I14" s="7">
        <v>94</v>
      </c>
      <c r="J14" s="7" t="s">
        <v>72</v>
      </c>
      <c r="K14" s="7">
        <v>658</v>
      </c>
      <c r="L14" s="7">
        <v>2</v>
      </c>
      <c r="M14" s="7" t="s">
        <v>59</v>
      </c>
      <c r="N14" s="10">
        <v>7.4002132490176231E-2</v>
      </c>
      <c r="O14" s="7">
        <v>0.25</v>
      </c>
      <c r="P14" s="7">
        <v>0.33</v>
      </c>
    </row>
    <row r="15" spans="1:16" x14ac:dyDescent="0.15">
      <c r="A15" s="7">
        <v>1011</v>
      </c>
      <c r="B15" s="19">
        <v>45425</v>
      </c>
      <c r="C15" s="7">
        <v>360</v>
      </c>
      <c r="D15" s="19">
        <v>45747</v>
      </c>
      <c r="E15" s="7">
        <v>10</v>
      </c>
      <c r="F15" s="30">
        <v>598834</v>
      </c>
      <c r="G15" s="30">
        <v>561296.99564673123</v>
      </c>
      <c r="H15" s="28">
        <v>748542.5</v>
      </c>
      <c r="I15" s="7">
        <v>80</v>
      </c>
      <c r="J15" s="7" t="s">
        <v>62</v>
      </c>
      <c r="K15" s="7">
        <v>642</v>
      </c>
      <c r="L15" s="7">
        <v>26</v>
      </c>
      <c r="M15" s="7" t="s">
        <v>59</v>
      </c>
      <c r="N15" s="10">
        <v>6.4202878728888621E-2</v>
      </c>
      <c r="O15" s="7">
        <v>0.12</v>
      </c>
      <c r="P15" s="7">
        <v>0.22</v>
      </c>
    </row>
    <row r="16" spans="1:16" x14ac:dyDescent="0.15">
      <c r="A16" s="7">
        <v>1012</v>
      </c>
      <c r="B16" s="19">
        <v>45378</v>
      </c>
      <c r="C16" s="7">
        <v>360</v>
      </c>
      <c r="D16" s="19">
        <v>45747</v>
      </c>
      <c r="E16" s="7">
        <v>12</v>
      </c>
      <c r="F16" s="30">
        <v>658721</v>
      </c>
      <c r="G16" s="30">
        <v>611632.53810804314</v>
      </c>
      <c r="H16" s="28">
        <v>813235.80246913573</v>
      </c>
      <c r="I16" s="7">
        <v>81</v>
      </c>
      <c r="J16" s="7" t="s">
        <v>70</v>
      </c>
      <c r="K16" s="7">
        <v>772</v>
      </c>
      <c r="L16" s="7">
        <v>45</v>
      </c>
      <c r="M16" s="7" t="s">
        <v>59</v>
      </c>
      <c r="N16" s="10">
        <v>5.9401127254197078E-2</v>
      </c>
      <c r="O16" s="7">
        <v>0.12</v>
      </c>
      <c r="P16" s="7">
        <v>0.28999999999999998</v>
      </c>
    </row>
    <row r="17" spans="1:16" x14ac:dyDescent="0.15">
      <c r="A17" s="7">
        <v>1013</v>
      </c>
      <c r="B17" s="19">
        <v>45407</v>
      </c>
      <c r="C17" s="7">
        <v>360</v>
      </c>
      <c r="D17" s="19">
        <v>45747</v>
      </c>
      <c r="E17" s="7">
        <v>11</v>
      </c>
      <c r="F17" s="30">
        <v>622121</v>
      </c>
      <c r="G17" s="30">
        <v>583531.80034715706</v>
      </c>
      <c r="H17" s="28">
        <v>676218.47826086951</v>
      </c>
      <c r="I17" s="7">
        <v>92</v>
      </c>
      <c r="J17" s="7" t="s">
        <v>68</v>
      </c>
      <c r="K17" s="7">
        <v>758</v>
      </c>
      <c r="L17" s="7">
        <v>33</v>
      </c>
      <c r="M17" s="7" t="s">
        <v>59</v>
      </c>
      <c r="N17" s="10">
        <v>5.4378373210068567E-2</v>
      </c>
      <c r="O17" s="7">
        <v>0.25</v>
      </c>
      <c r="P17" s="7">
        <v>0.32</v>
      </c>
    </row>
    <row r="18" spans="1:16" x14ac:dyDescent="0.15">
      <c r="A18" s="7">
        <v>1014</v>
      </c>
      <c r="B18" s="19">
        <v>45334</v>
      </c>
      <c r="C18" s="7">
        <v>360</v>
      </c>
      <c r="D18" s="19">
        <v>45747</v>
      </c>
      <c r="E18" s="7">
        <v>13</v>
      </c>
      <c r="F18" s="30">
        <v>442304</v>
      </c>
      <c r="G18" s="30">
        <v>400720.63140264741</v>
      </c>
      <c r="H18" s="28">
        <v>546054.32098765427</v>
      </c>
      <c r="I18" s="7">
        <v>81</v>
      </c>
      <c r="J18" s="7" t="s">
        <v>65</v>
      </c>
      <c r="K18" s="7">
        <v>791</v>
      </c>
      <c r="L18" s="7">
        <v>40</v>
      </c>
      <c r="M18" s="7" t="s">
        <v>59</v>
      </c>
      <c r="N18" s="10">
        <v>7.8479834044384564E-2</v>
      </c>
      <c r="O18" s="7">
        <v>0.12</v>
      </c>
      <c r="P18" s="7">
        <v>0.35</v>
      </c>
    </row>
    <row r="19" spans="1:16" x14ac:dyDescent="0.15">
      <c r="A19" s="7">
        <v>1015</v>
      </c>
      <c r="B19" s="19">
        <v>45440</v>
      </c>
      <c r="C19" s="7">
        <v>360</v>
      </c>
      <c r="D19" s="19">
        <v>45747</v>
      </c>
      <c r="E19" s="7">
        <v>10</v>
      </c>
      <c r="F19" s="30">
        <v>314973</v>
      </c>
      <c r="G19" s="30">
        <v>295652.3317853788</v>
      </c>
      <c r="H19" s="28">
        <v>393716.25</v>
      </c>
      <c r="I19" s="7">
        <v>80</v>
      </c>
      <c r="J19" s="7" t="s">
        <v>68</v>
      </c>
      <c r="K19" s="7">
        <v>633</v>
      </c>
      <c r="L19" s="7">
        <v>25</v>
      </c>
      <c r="M19" s="7" t="s">
        <v>59</v>
      </c>
      <c r="N19" s="10">
        <v>6.2144526095474689E-2</v>
      </c>
      <c r="O19" s="7">
        <v>0.12</v>
      </c>
      <c r="P19" s="7">
        <v>0.41</v>
      </c>
    </row>
    <row r="20" spans="1:16" x14ac:dyDescent="0.15">
      <c r="A20" s="7">
        <v>1016</v>
      </c>
      <c r="B20" s="19">
        <v>45300</v>
      </c>
      <c r="C20" s="7">
        <v>360</v>
      </c>
      <c r="D20" s="19">
        <v>45747</v>
      </c>
      <c r="E20" s="7">
        <v>14</v>
      </c>
      <c r="F20" s="30">
        <v>455074</v>
      </c>
      <c r="G20" s="30">
        <v>415409.41264591384</v>
      </c>
      <c r="H20" s="28">
        <v>479025.26315789478</v>
      </c>
      <c r="I20" s="7">
        <v>95</v>
      </c>
      <c r="J20" s="7" t="s">
        <v>69</v>
      </c>
      <c r="K20" s="7">
        <v>811</v>
      </c>
      <c r="L20" s="7">
        <v>44</v>
      </c>
      <c r="M20" s="7" t="s">
        <v>59</v>
      </c>
      <c r="N20" s="10">
        <v>6.3552192578944483E-2</v>
      </c>
      <c r="O20" s="7">
        <v>0.3</v>
      </c>
      <c r="P20" s="7">
        <v>0.28000000000000003</v>
      </c>
    </row>
    <row r="21" spans="1:16" x14ac:dyDescent="0.15">
      <c r="A21" s="7">
        <v>1017</v>
      </c>
      <c r="B21" s="19">
        <v>45370</v>
      </c>
      <c r="C21" s="7">
        <v>360</v>
      </c>
      <c r="D21" s="19">
        <v>45747</v>
      </c>
      <c r="E21" s="7">
        <v>12</v>
      </c>
      <c r="F21" s="30">
        <v>520086</v>
      </c>
      <c r="G21" s="30">
        <v>477046.85471273342</v>
      </c>
      <c r="H21" s="28">
        <v>565310.86956521741</v>
      </c>
      <c r="I21" s="7">
        <v>92</v>
      </c>
      <c r="J21" s="7" t="s">
        <v>71</v>
      </c>
      <c r="K21" s="7">
        <v>837</v>
      </c>
      <c r="L21" s="7">
        <v>36</v>
      </c>
      <c r="M21" s="7" t="s">
        <v>59</v>
      </c>
      <c r="N21" s="10">
        <v>7.359452496709333E-2</v>
      </c>
      <c r="O21" s="7">
        <v>0.25</v>
      </c>
      <c r="P21" s="7">
        <v>0.34</v>
      </c>
    </row>
    <row r="22" spans="1:16" x14ac:dyDescent="0.15">
      <c r="A22" s="7">
        <v>1018</v>
      </c>
      <c r="B22" s="19">
        <v>45313</v>
      </c>
      <c r="C22" s="7">
        <v>360</v>
      </c>
      <c r="D22" s="19">
        <v>45747</v>
      </c>
      <c r="E22" s="7">
        <v>14</v>
      </c>
      <c r="F22" s="30">
        <v>595865</v>
      </c>
      <c r="G22" s="30">
        <v>541002.9201333184</v>
      </c>
      <c r="H22" s="28">
        <v>717909.63855421694</v>
      </c>
      <c r="I22" s="7">
        <v>83</v>
      </c>
      <c r="J22" s="7" t="s">
        <v>61</v>
      </c>
      <c r="K22" s="7">
        <v>638</v>
      </c>
      <c r="L22" s="7">
        <v>25</v>
      </c>
      <c r="M22" s="7" t="s">
        <v>59</v>
      </c>
      <c r="N22" s="10">
        <v>6.88582552190692E-2</v>
      </c>
      <c r="O22" s="7">
        <v>0.12</v>
      </c>
      <c r="P22" s="7">
        <v>0.27</v>
      </c>
    </row>
    <row r="23" spans="1:16" x14ac:dyDescent="0.15">
      <c r="A23" s="7">
        <v>1019</v>
      </c>
      <c r="B23" s="19">
        <v>45378</v>
      </c>
      <c r="C23" s="7">
        <v>360</v>
      </c>
      <c r="D23" s="19">
        <v>45747</v>
      </c>
      <c r="E23" s="7">
        <v>12</v>
      </c>
      <c r="F23" s="30">
        <v>575323</v>
      </c>
      <c r="G23" s="30">
        <v>530398.1716837571</v>
      </c>
      <c r="H23" s="28">
        <v>593116.49484536087</v>
      </c>
      <c r="I23" s="7">
        <v>97</v>
      </c>
      <c r="J23" s="7" t="s">
        <v>67</v>
      </c>
      <c r="K23" s="7">
        <v>762</v>
      </c>
      <c r="L23" s="7">
        <v>6</v>
      </c>
      <c r="M23" s="7" t="s">
        <v>59</v>
      </c>
      <c r="N23" s="10">
        <v>6.7818843121847328E-2</v>
      </c>
      <c r="O23" s="7">
        <v>0.35</v>
      </c>
      <c r="P23" s="7">
        <v>0.35</v>
      </c>
    </row>
    <row r="24" spans="1:16" x14ac:dyDescent="0.15">
      <c r="A24" s="7">
        <v>1020</v>
      </c>
      <c r="B24" s="19">
        <v>45431</v>
      </c>
      <c r="C24" s="7">
        <v>360</v>
      </c>
      <c r="D24" s="19">
        <v>45747</v>
      </c>
      <c r="E24" s="7">
        <v>10</v>
      </c>
      <c r="F24" s="30">
        <v>553507</v>
      </c>
      <c r="G24" s="30">
        <v>517704.5982211479</v>
      </c>
      <c r="H24" s="28">
        <v>615007.77777777775</v>
      </c>
      <c r="I24" s="7">
        <v>90</v>
      </c>
      <c r="J24" s="7" t="s">
        <v>62</v>
      </c>
      <c r="K24" s="7">
        <v>819</v>
      </c>
      <c r="L24" s="7">
        <v>13</v>
      </c>
      <c r="M24" s="7" t="s">
        <v>59</v>
      </c>
      <c r="N24" s="10">
        <v>6.7233612024798536E-2</v>
      </c>
      <c r="O24" s="7">
        <v>0.25</v>
      </c>
      <c r="P24" s="7">
        <v>0.33</v>
      </c>
    </row>
    <row r="25" spans="1:16" x14ac:dyDescent="0.15">
      <c r="A25" s="7">
        <v>1021</v>
      </c>
      <c r="B25" s="19">
        <v>45437</v>
      </c>
      <c r="C25" s="7">
        <v>360</v>
      </c>
      <c r="D25" s="19">
        <v>45747</v>
      </c>
      <c r="E25" s="7">
        <v>10</v>
      </c>
      <c r="F25" s="30">
        <v>449811</v>
      </c>
      <c r="G25" s="30">
        <v>422889.42542613519</v>
      </c>
      <c r="H25" s="28">
        <v>483667.74193548382</v>
      </c>
      <c r="I25" s="7">
        <v>93</v>
      </c>
      <c r="J25" s="7" t="s">
        <v>69</v>
      </c>
      <c r="K25" s="7">
        <v>658</v>
      </c>
      <c r="L25" s="7">
        <v>11</v>
      </c>
      <c r="M25" s="7" t="s">
        <v>59</v>
      </c>
      <c r="N25" s="10">
        <v>5.9837874402074262E-2</v>
      </c>
      <c r="O25" s="7">
        <v>0.25</v>
      </c>
      <c r="P25" s="7">
        <v>0.43</v>
      </c>
    </row>
    <row r="26" spans="1:16" x14ac:dyDescent="0.15">
      <c r="A26" s="7">
        <v>1022</v>
      </c>
      <c r="B26" s="19">
        <v>45295</v>
      </c>
      <c r="C26" s="7">
        <v>360</v>
      </c>
      <c r="D26" s="19">
        <v>45747</v>
      </c>
      <c r="E26" s="7">
        <v>14</v>
      </c>
      <c r="F26" s="30">
        <v>204862</v>
      </c>
      <c r="G26" s="30">
        <v>185084.65171388962</v>
      </c>
      <c r="H26" s="28">
        <v>235473.5632183908</v>
      </c>
      <c r="I26" s="7">
        <v>87</v>
      </c>
      <c r="J26" s="7" t="s">
        <v>73</v>
      </c>
      <c r="K26" s="7">
        <v>794</v>
      </c>
      <c r="L26" s="7">
        <v>14</v>
      </c>
      <c r="M26" s="7" t="s">
        <v>59</v>
      </c>
      <c r="N26" s="10">
        <v>7.3587855138597294E-2</v>
      </c>
      <c r="O26" s="7">
        <v>0.12</v>
      </c>
      <c r="P26" s="7">
        <v>0.43</v>
      </c>
    </row>
    <row r="27" spans="1:16" x14ac:dyDescent="0.15">
      <c r="A27" s="7">
        <v>1023</v>
      </c>
      <c r="B27" s="19">
        <v>45354</v>
      </c>
      <c r="C27" s="7">
        <v>360</v>
      </c>
      <c r="D27" s="19">
        <v>45747</v>
      </c>
      <c r="E27" s="7">
        <v>12</v>
      </c>
      <c r="F27" s="30">
        <v>211172</v>
      </c>
      <c r="G27" s="30">
        <v>196051.6174315133</v>
      </c>
      <c r="H27" s="28">
        <v>224651.06382978725</v>
      </c>
      <c r="I27" s="7">
        <v>94</v>
      </c>
      <c r="J27" s="7" t="s">
        <v>62</v>
      </c>
      <c r="K27" s="7">
        <v>612</v>
      </c>
      <c r="L27" s="7">
        <v>1</v>
      </c>
      <c r="M27" s="7" t="s">
        <v>59</v>
      </c>
      <c r="N27" s="10">
        <v>5.9553842861583065E-2</v>
      </c>
      <c r="O27" s="7">
        <v>0.25</v>
      </c>
      <c r="P27" s="7">
        <v>0.41</v>
      </c>
    </row>
    <row r="28" spans="1:16" x14ac:dyDescent="0.15">
      <c r="A28" s="7">
        <v>1024</v>
      </c>
      <c r="B28" s="19">
        <v>45422</v>
      </c>
      <c r="C28" s="7">
        <v>360</v>
      </c>
      <c r="D28" s="19">
        <v>45747</v>
      </c>
      <c r="E28" s="7">
        <v>10</v>
      </c>
      <c r="F28" s="30">
        <v>523153</v>
      </c>
      <c r="G28" s="30">
        <v>490546.82199006848</v>
      </c>
      <c r="H28" s="28">
        <v>587812.35955056176</v>
      </c>
      <c r="I28" s="7">
        <v>89</v>
      </c>
      <c r="J28" s="7" t="s">
        <v>64</v>
      </c>
      <c r="K28" s="7">
        <v>622</v>
      </c>
      <c r="L28" s="7">
        <v>9</v>
      </c>
      <c r="M28" s="7" t="s">
        <v>59</v>
      </c>
      <c r="N28" s="10">
        <v>6.3657151226928069E-2</v>
      </c>
      <c r="O28" s="7">
        <v>0.12</v>
      </c>
      <c r="P28" s="7">
        <v>0.41</v>
      </c>
    </row>
    <row r="29" spans="1:16" x14ac:dyDescent="0.15">
      <c r="A29" s="7">
        <v>1025</v>
      </c>
      <c r="B29" s="19">
        <v>45343</v>
      </c>
      <c r="C29" s="7">
        <v>360</v>
      </c>
      <c r="D29" s="19">
        <v>45747</v>
      </c>
      <c r="E29" s="7">
        <v>13</v>
      </c>
      <c r="F29" s="30">
        <v>746904</v>
      </c>
      <c r="G29" s="30">
        <v>681993.8997487505</v>
      </c>
      <c r="H29" s="28">
        <v>778025</v>
      </c>
      <c r="I29" s="7">
        <v>96</v>
      </c>
      <c r="J29" s="7" t="s">
        <v>60</v>
      </c>
      <c r="K29" s="7">
        <v>837</v>
      </c>
      <c r="L29" s="7">
        <v>20</v>
      </c>
      <c r="M29" s="7" t="s">
        <v>59</v>
      </c>
      <c r="N29" s="10">
        <v>7.0476273981328927E-2</v>
      </c>
      <c r="O29" s="7">
        <v>0.3</v>
      </c>
      <c r="P29" s="7">
        <v>0.28000000000000003</v>
      </c>
    </row>
    <row r="30" spans="1:16" x14ac:dyDescent="0.15">
      <c r="A30" s="7">
        <v>1026</v>
      </c>
      <c r="B30" s="19">
        <v>45335</v>
      </c>
      <c r="C30" s="7">
        <v>360</v>
      </c>
      <c r="D30" s="19">
        <v>45747</v>
      </c>
      <c r="E30" s="7">
        <v>13</v>
      </c>
      <c r="F30" s="30">
        <v>233022</v>
      </c>
      <c r="G30" s="30">
        <v>213700.41323845406</v>
      </c>
      <c r="H30" s="28">
        <v>267841.37931034481</v>
      </c>
      <c r="I30" s="7">
        <v>87</v>
      </c>
      <c r="J30" s="7" t="s">
        <v>69</v>
      </c>
      <c r="K30" s="7">
        <v>615</v>
      </c>
      <c r="L30" s="7">
        <v>12</v>
      </c>
      <c r="M30" s="7" t="s">
        <v>59</v>
      </c>
      <c r="N30" s="10">
        <v>6.5873942572682004E-2</v>
      </c>
      <c r="O30" s="7">
        <v>0.12</v>
      </c>
      <c r="P30" s="7">
        <v>0.31</v>
      </c>
    </row>
    <row r="31" spans="1:16" x14ac:dyDescent="0.15">
      <c r="A31" s="7">
        <v>1027</v>
      </c>
      <c r="B31" s="19">
        <v>45357</v>
      </c>
      <c r="C31" s="7">
        <v>360</v>
      </c>
      <c r="D31" s="19">
        <v>45747</v>
      </c>
      <c r="E31" s="7">
        <v>12</v>
      </c>
      <c r="F31" s="30">
        <v>736633</v>
      </c>
      <c r="G31" s="30">
        <v>683792.78243894491</v>
      </c>
      <c r="H31" s="28">
        <v>837082.95454545459</v>
      </c>
      <c r="I31" s="7">
        <v>88</v>
      </c>
      <c r="J31" s="7" t="s">
        <v>74</v>
      </c>
      <c r="K31" s="7">
        <v>703</v>
      </c>
      <c r="L31" s="7">
        <v>4</v>
      </c>
      <c r="M31" s="7" t="s">
        <v>59</v>
      </c>
      <c r="N31" s="10">
        <v>5.9722460492232281E-2</v>
      </c>
      <c r="O31" s="7">
        <v>0.12</v>
      </c>
      <c r="P31" s="7">
        <v>0.38</v>
      </c>
    </row>
    <row r="32" spans="1:16" x14ac:dyDescent="0.15">
      <c r="A32" s="7">
        <v>1028</v>
      </c>
      <c r="B32" s="19">
        <v>45306</v>
      </c>
      <c r="C32" s="7">
        <v>360</v>
      </c>
      <c r="D32" s="19">
        <v>45747</v>
      </c>
      <c r="E32" s="7">
        <v>14</v>
      </c>
      <c r="F32" s="30">
        <v>700596</v>
      </c>
      <c r="G32" s="30">
        <v>639013.66221834777</v>
      </c>
      <c r="H32" s="28">
        <v>769885.7142857142</v>
      </c>
      <c r="I32" s="7">
        <v>91</v>
      </c>
      <c r="J32" s="7" t="s">
        <v>69</v>
      </c>
      <c r="K32" s="7">
        <v>660</v>
      </c>
      <c r="L32" s="7">
        <v>10</v>
      </c>
      <c r="M32" s="7" t="s">
        <v>59</v>
      </c>
      <c r="N32" s="10">
        <v>6.4358731359389007E-2</v>
      </c>
      <c r="O32" s="7">
        <v>0.25</v>
      </c>
      <c r="P32" s="7">
        <v>0.2</v>
      </c>
    </row>
    <row r="33" spans="1:16" x14ac:dyDescent="0.15">
      <c r="A33" s="7">
        <v>1029</v>
      </c>
      <c r="B33" s="19">
        <v>45390</v>
      </c>
      <c r="C33" s="7">
        <v>360</v>
      </c>
      <c r="D33" s="19">
        <v>45747</v>
      </c>
      <c r="E33" s="7">
        <v>11</v>
      </c>
      <c r="F33" s="30">
        <v>601174</v>
      </c>
      <c r="G33" s="30">
        <v>555309.51421190787</v>
      </c>
      <c r="H33" s="28">
        <v>626222.91666666674</v>
      </c>
      <c r="I33" s="7">
        <v>96</v>
      </c>
      <c r="J33" s="7" t="s">
        <v>65</v>
      </c>
      <c r="K33" s="7">
        <v>790</v>
      </c>
      <c r="L33" s="7">
        <v>37</v>
      </c>
      <c r="M33" s="7" t="s">
        <v>59</v>
      </c>
      <c r="N33" s="10">
        <v>7.4172856670272166E-2</v>
      </c>
      <c r="O33" s="7">
        <v>0.3</v>
      </c>
      <c r="P33" s="7">
        <v>0.32</v>
      </c>
    </row>
    <row r="34" spans="1:16" x14ac:dyDescent="0.15">
      <c r="A34" s="7">
        <v>1030</v>
      </c>
      <c r="B34" s="19">
        <v>45349</v>
      </c>
      <c r="C34" s="7">
        <v>360</v>
      </c>
      <c r="D34" s="19">
        <v>45747</v>
      </c>
      <c r="E34" s="7">
        <v>13</v>
      </c>
      <c r="F34" s="30">
        <v>354068</v>
      </c>
      <c r="G34" s="30">
        <v>327110.008078477</v>
      </c>
      <c r="H34" s="28">
        <v>372703.15789473685</v>
      </c>
      <c r="I34" s="7">
        <v>95</v>
      </c>
      <c r="J34" s="7" t="s">
        <v>64</v>
      </c>
      <c r="K34" s="7">
        <v>697</v>
      </c>
      <c r="L34" s="7">
        <v>14</v>
      </c>
      <c r="M34" s="7" t="s">
        <v>59</v>
      </c>
      <c r="N34" s="10">
        <v>5.7830817298684521E-2</v>
      </c>
      <c r="O34" s="7">
        <v>0.3</v>
      </c>
      <c r="P34" s="7">
        <v>0.28000000000000003</v>
      </c>
    </row>
    <row r="35" spans="1:16" x14ac:dyDescent="0.15">
      <c r="A35" s="7">
        <v>1031</v>
      </c>
      <c r="B35" s="19">
        <v>45389</v>
      </c>
      <c r="C35" s="7">
        <v>360</v>
      </c>
      <c r="D35" s="19">
        <v>45747</v>
      </c>
      <c r="E35" s="7">
        <v>11</v>
      </c>
      <c r="F35" s="30">
        <v>418751</v>
      </c>
      <c r="G35" s="30">
        <v>388285.05311857071</v>
      </c>
      <c r="H35" s="28">
        <v>492648.23529411765</v>
      </c>
      <c r="I35" s="7">
        <v>85</v>
      </c>
      <c r="J35" s="7" t="s">
        <v>64</v>
      </c>
      <c r="K35" s="7">
        <v>771</v>
      </c>
      <c r="L35" s="7">
        <v>0</v>
      </c>
      <c r="M35" s="7" t="s">
        <v>59</v>
      </c>
      <c r="N35" s="10">
        <v>6.9418681011879493E-2</v>
      </c>
      <c r="O35" s="7">
        <v>0.12</v>
      </c>
      <c r="P35" s="7">
        <v>0.25</v>
      </c>
    </row>
    <row r="36" spans="1:16" x14ac:dyDescent="0.15">
      <c r="A36" s="7">
        <v>1032</v>
      </c>
      <c r="B36" s="19">
        <v>45461</v>
      </c>
      <c r="C36" s="7">
        <v>360</v>
      </c>
      <c r="D36" s="19">
        <v>45747</v>
      </c>
      <c r="E36" s="7">
        <v>9</v>
      </c>
      <c r="F36" s="30">
        <v>216118</v>
      </c>
      <c r="G36" s="30">
        <v>204605.273464128</v>
      </c>
      <c r="H36" s="28">
        <v>270147.5</v>
      </c>
      <c r="I36" s="7">
        <v>80</v>
      </c>
      <c r="J36" s="7" t="s">
        <v>62</v>
      </c>
      <c r="K36" s="7">
        <v>786</v>
      </c>
      <c r="L36" s="7">
        <v>27</v>
      </c>
      <c r="M36" s="7" t="s">
        <v>59</v>
      </c>
      <c r="N36" s="10">
        <v>5.8805902649320785E-2</v>
      </c>
      <c r="O36" s="7">
        <v>0.12</v>
      </c>
      <c r="P36" s="7">
        <v>0.21</v>
      </c>
    </row>
    <row r="37" spans="1:16" x14ac:dyDescent="0.15">
      <c r="A37" s="7">
        <v>1033</v>
      </c>
      <c r="B37" s="19">
        <v>45353</v>
      </c>
      <c r="C37" s="7">
        <v>360</v>
      </c>
      <c r="D37" s="19">
        <v>45747</v>
      </c>
      <c r="E37" s="7">
        <v>12</v>
      </c>
      <c r="F37" s="30">
        <v>409095</v>
      </c>
      <c r="G37" s="30">
        <v>375761.0336812039</v>
      </c>
      <c r="H37" s="28">
        <v>421747.42268041236</v>
      </c>
      <c r="I37" s="7">
        <v>97</v>
      </c>
      <c r="J37" s="7" t="s">
        <v>74</v>
      </c>
      <c r="K37" s="7">
        <v>806</v>
      </c>
      <c r="L37" s="7">
        <v>9</v>
      </c>
      <c r="M37" s="7" t="s">
        <v>59</v>
      </c>
      <c r="N37" s="10">
        <v>7.2034008953178311E-2</v>
      </c>
      <c r="O37" s="7">
        <v>0.35</v>
      </c>
      <c r="P37" s="7">
        <v>0.43</v>
      </c>
    </row>
    <row r="38" spans="1:16" x14ac:dyDescent="0.15">
      <c r="A38" s="7">
        <v>1034</v>
      </c>
      <c r="B38" s="19">
        <v>45389</v>
      </c>
      <c r="C38" s="7">
        <v>360</v>
      </c>
      <c r="D38" s="19">
        <v>45747</v>
      </c>
      <c r="E38" s="7">
        <v>11</v>
      </c>
      <c r="F38" s="30">
        <v>120452</v>
      </c>
      <c r="G38" s="30">
        <v>113207.22153306869</v>
      </c>
      <c r="H38" s="28">
        <v>135339.32584269662</v>
      </c>
      <c r="I38" s="7">
        <v>89</v>
      </c>
      <c r="J38" s="7" t="s">
        <v>69</v>
      </c>
      <c r="K38" s="7">
        <v>749</v>
      </c>
      <c r="L38" s="7">
        <v>7</v>
      </c>
      <c r="M38" s="7" t="s">
        <v>59</v>
      </c>
      <c r="N38" s="10">
        <v>5.1623486027893177E-2</v>
      </c>
      <c r="O38" s="7">
        <v>0.12</v>
      </c>
      <c r="P38" s="7">
        <v>0.38</v>
      </c>
    </row>
    <row r="39" spans="1:16" x14ac:dyDescent="0.15">
      <c r="A39" s="7">
        <v>1035</v>
      </c>
      <c r="B39" s="19">
        <v>45414</v>
      </c>
      <c r="C39" s="7">
        <v>360</v>
      </c>
      <c r="D39" s="19">
        <v>45747</v>
      </c>
      <c r="E39" s="7">
        <v>10</v>
      </c>
      <c r="F39" s="30">
        <v>129601</v>
      </c>
      <c r="G39" s="30">
        <v>120656.77370790139</v>
      </c>
      <c r="H39" s="28">
        <v>147273.86363636365</v>
      </c>
      <c r="I39" s="7">
        <v>88</v>
      </c>
      <c r="J39" s="7" t="s">
        <v>65</v>
      </c>
      <c r="K39" s="7">
        <v>808</v>
      </c>
      <c r="L39" s="7">
        <v>36</v>
      </c>
      <c r="M39" s="7" t="s">
        <v>59</v>
      </c>
      <c r="N39" s="10">
        <v>7.367082071985194E-2</v>
      </c>
      <c r="O39" s="7">
        <v>0.12</v>
      </c>
      <c r="P39" s="7">
        <v>0.22</v>
      </c>
    </row>
    <row r="40" spans="1:16" x14ac:dyDescent="0.15">
      <c r="A40" s="7">
        <v>1036</v>
      </c>
      <c r="B40" s="19">
        <v>45298</v>
      </c>
      <c r="C40" s="7">
        <v>360</v>
      </c>
      <c r="D40" s="19">
        <v>45747</v>
      </c>
      <c r="E40" s="7">
        <v>14</v>
      </c>
      <c r="F40" s="30">
        <v>219019</v>
      </c>
      <c r="G40" s="30">
        <v>199645.1424615758</v>
      </c>
      <c r="H40" s="28">
        <v>257669.4117647059</v>
      </c>
      <c r="I40" s="7">
        <v>85</v>
      </c>
      <c r="J40" s="7" t="s">
        <v>73</v>
      </c>
      <c r="K40" s="7">
        <v>718</v>
      </c>
      <c r="L40" s="7">
        <v>17</v>
      </c>
      <c r="M40" s="7" t="s">
        <v>59</v>
      </c>
      <c r="N40" s="10">
        <v>6.4965138675985926E-2</v>
      </c>
      <c r="O40" s="7">
        <v>0.12</v>
      </c>
      <c r="P40" s="7">
        <v>0.44</v>
      </c>
    </row>
    <row r="41" spans="1:16" x14ac:dyDescent="0.15">
      <c r="A41" s="7">
        <v>1037</v>
      </c>
      <c r="B41" s="19">
        <v>45358</v>
      </c>
      <c r="C41" s="7">
        <v>360</v>
      </c>
      <c r="D41" s="19">
        <v>45747</v>
      </c>
      <c r="E41" s="7">
        <v>12</v>
      </c>
      <c r="F41" s="30">
        <v>718113</v>
      </c>
      <c r="G41" s="30">
        <v>665281.23825371743</v>
      </c>
      <c r="H41" s="28">
        <v>763950</v>
      </c>
      <c r="I41" s="7">
        <v>94</v>
      </c>
      <c r="J41" s="7" t="s">
        <v>62</v>
      </c>
      <c r="K41" s="7">
        <v>777</v>
      </c>
      <c r="L41" s="7">
        <v>14</v>
      </c>
      <c r="M41" s="7" t="s">
        <v>59</v>
      </c>
      <c r="N41" s="10">
        <v>6.2094991945608413E-2</v>
      </c>
      <c r="O41" s="7">
        <v>0.25</v>
      </c>
      <c r="P41" s="7">
        <v>0.44</v>
      </c>
    </row>
    <row r="42" spans="1:16" x14ac:dyDescent="0.15">
      <c r="A42" s="7">
        <v>1038</v>
      </c>
      <c r="B42" s="19">
        <v>45296</v>
      </c>
      <c r="C42" s="7">
        <v>360</v>
      </c>
      <c r="D42" s="19">
        <v>45747</v>
      </c>
      <c r="E42" s="7">
        <v>14</v>
      </c>
      <c r="F42" s="30">
        <v>290213</v>
      </c>
      <c r="G42" s="30">
        <v>268210.54728649254</v>
      </c>
      <c r="H42" s="28">
        <v>318915.38461538462</v>
      </c>
      <c r="I42" s="7">
        <v>91</v>
      </c>
      <c r="J42" s="7" t="s">
        <v>68</v>
      </c>
      <c r="K42" s="7">
        <v>830</v>
      </c>
      <c r="L42" s="7">
        <v>29</v>
      </c>
      <c r="M42" s="7" t="s">
        <v>59</v>
      </c>
      <c r="N42" s="10">
        <v>5.0769546230197943E-2</v>
      </c>
      <c r="O42" s="7">
        <v>0.25</v>
      </c>
      <c r="P42" s="7">
        <v>0.28999999999999998</v>
      </c>
    </row>
    <row r="43" spans="1:16" x14ac:dyDescent="0.15">
      <c r="A43" s="7">
        <v>1039</v>
      </c>
      <c r="B43" s="19">
        <v>45296</v>
      </c>
      <c r="C43" s="7">
        <v>360</v>
      </c>
      <c r="D43" s="19">
        <v>45747</v>
      </c>
      <c r="E43" s="7">
        <v>14</v>
      </c>
      <c r="F43" s="30">
        <v>347040</v>
      </c>
      <c r="G43" s="30">
        <v>315381.26538250886</v>
      </c>
      <c r="H43" s="28">
        <v>423219.51219512196</v>
      </c>
      <c r="I43" s="7">
        <v>82</v>
      </c>
      <c r="J43" s="7" t="s">
        <v>70</v>
      </c>
      <c r="K43" s="7">
        <v>759</v>
      </c>
      <c r="L43" s="7">
        <v>30</v>
      </c>
      <c r="M43" s="7" t="s">
        <v>59</v>
      </c>
      <c r="N43" s="10">
        <v>6.7952281615750468E-2</v>
      </c>
      <c r="O43" s="7">
        <v>0.12</v>
      </c>
      <c r="P43" s="7">
        <v>0.32</v>
      </c>
    </row>
    <row r="44" spans="1:16" x14ac:dyDescent="0.15">
      <c r="A44" s="7">
        <v>1040</v>
      </c>
      <c r="B44" s="19">
        <v>45373</v>
      </c>
      <c r="C44" s="7">
        <v>360</v>
      </c>
      <c r="D44" s="19">
        <v>45747</v>
      </c>
      <c r="E44" s="7">
        <v>12</v>
      </c>
      <c r="F44" s="30">
        <v>271759</v>
      </c>
      <c r="G44" s="30">
        <v>247888.09377636338</v>
      </c>
      <c r="H44" s="28">
        <v>335504.93827160494</v>
      </c>
      <c r="I44" s="7">
        <v>81</v>
      </c>
      <c r="J44" s="7" t="s">
        <v>69</v>
      </c>
      <c r="K44" s="7">
        <v>665</v>
      </c>
      <c r="L44" s="7">
        <v>39</v>
      </c>
      <c r="M44" s="7" t="s">
        <v>59</v>
      </c>
      <c r="N44" s="10">
        <v>7.9744986059567757E-2</v>
      </c>
      <c r="O44" s="7">
        <v>0.12</v>
      </c>
      <c r="P44" s="7">
        <v>0.37</v>
      </c>
    </row>
    <row r="45" spans="1:16" x14ac:dyDescent="0.15">
      <c r="A45" s="7">
        <v>1041</v>
      </c>
      <c r="B45" s="19">
        <v>45388</v>
      </c>
      <c r="C45" s="7">
        <v>360</v>
      </c>
      <c r="D45" s="19">
        <v>45747</v>
      </c>
      <c r="E45" s="7">
        <v>11</v>
      </c>
      <c r="F45" s="30">
        <v>299291</v>
      </c>
      <c r="G45" s="30">
        <v>278717.84684495936</v>
      </c>
      <c r="H45" s="28">
        <v>369495.06172839506</v>
      </c>
      <c r="I45" s="7">
        <v>81</v>
      </c>
      <c r="J45" s="7" t="s">
        <v>62</v>
      </c>
      <c r="K45" s="7">
        <v>722</v>
      </c>
      <c r="L45" s="7">
        <v>6</v>
      </c>
      <c r="M45" s="7" t="s">
        <v>59</v>
      </c>
      <c r="N45" s="10">
        <v>6.390832049342586E-2</v>
      </c>
      <c r="O45" s="7">
        <v>0.12</v>
      </c>
      <c r="P45" s="7">
        <v>0.23</v>
      </c>
    </row>
    <row r="46" spans="1:16" x14ac:dyDescent="0.15">
      <c r="A46" s="7">
        <v>1042</v>
      </c>
      <c r="B46" s="19">
        <v>45473</v>
      </c>
      <c r="C46" s="7">
        <v>360</v>
      </c>
      <c r="D46" s="19">
        <v>45747</v>
      </c>
      <c r="E46" s="7">
        <v>9</v>
      </c>
      <c r="F46" s="30">
        <v>536109</v>
      </c>
      <c r="G46" s="30">
        <v>505649.25683179172</v>
      </c>
      <c r="H46" s="28">
        <v>564325.26315789472</v>
      </c>
      <c r="I46" s="7">
        <v>95</v>
      </c>
      <c r="J46" s="7" t="s">
        <v>69</v>
      </c>
      <c r="K46" s="7">
        <v>676</v>
      </c>
      <c r="L46" s="7">
        <v>33</v>
      </c>
      <c r="M46" s="7" t="s">
        <v>59</v>
      </c>
      <c r="N46" s="10">
        <v>6.4882046297341442E-2</v>
      </c>
      <c r="O46" s="7">
        <v>0.3</v>
      </c>
      <c r="P46" s="7">
        <v>0.33</v>
      </c>
    </row>
    <row r="47" spans="1:16" x14ac:dyDescent="0.15">
      <c r="A47" s="7">
        <v>1043</v>
      </c>
      <c r="B47" s="19">
        <v>45360</v>
      </c>
      <c r="C47" s="7">
        <v>360</v>
      </c>
      <c r="D47" s="19">
        <v>45747</v>
      </c>
      <c r="E47" s="7">
        <v>12</v>
      </c>
      <c r="F47" s="30">
        <v>171568</v>
      </c>
      <c r="G47" s="30">
        <v>157888.90006860811</v>
      </c>
      <c r="H47" s="28">
        <v>206708.43373493978</v>
      </c>
      <c r="I47" s="7">
        <v>83</v>
      </c>
      <c r="J47" s="7" t="s">
        <v>73</v>
      </c>
      <c r="K47" s="7">
        <v>601</v>
      </c>
      <c r="L47" s="7">
        <v>5</v>
      </c>
      <c r="M47" s="7" t="s">
        <v>59</v>
      </c>
      <c r="N47" s="10">
        <v>6.9867945062026815E-2</v>
      </c>
      <c r="O47" s="7">
        <v>0.12</v>
      </c>
      <c r="P47" s="7">
        <v>0.2</v>
      </c>
    </row>
    <row r="48" spans="1:16" x14ac:dyDescent="0.15">
      <c r="A48" s="7">
        <v>1044</v>
      </c>
      <c r="B48" s="19">
        <v>45330</v>
      </c>
      <c r="C48" s="7">
        <v>360</v>
      </c>
      <c r="D48" s="19">
        <v>45747</v>
      </c>
      <c r="E48" s="7">
        <v>13</v>
      </c>
      <c r="F48" s="30">
        <v>554294</v>
      </c>
      <c r="G48" s="30">
        <v>507656.39678729762</v>
      </c>
      <c r="H48" s="28">
        <v>583467.3684210527</v>
      </c>
      <c r="I48" s="7">
        <v>95</v>
      </c>
      <c r="J48" s="7" t="s">
        <v>73</v>
      </c>
      <c r="K48" s="7">
        <v>830</v>
      </c>
      <c r="L48" s="7">
        <v>1</v>
      </c>
      <c r="M48" s="7" t="s">
        <v>59</v>
      </c>
      <c r="N48" s="10">
        <v>6.7292762019609931E-2</v>
      </c>
      <c r="O48" s="7">
        <v>0.3</v>
      </c>
      <c r="P48" s="7">
        <v>0.28999999999999998</v>
      </c>
    </row>
    <row r="49" spans="1:16" x14ac:dyDescent="0.15">
      <c r="A49" s="7">
        <v>1045</v>
      </c>
      <c r="B49" s="19">
        <v>45340</v>
      </c>
      <c r="C49" s="7">
        <v>360</v>
      </c>
      <c r="D49" s="19">
        <v>45747</v>
      </c>
      <c r="E49" s="7">
        <v>13</v>
      </c>
      <c r="F49" s="30">
        <v>219261</v>
      </c>
      <c r="G49" s="30">
        <v>199173.61560731253</v>
      </c>
      <c r="H49" s="28">
        <v>246360.67415730338</v>
      </c>
      <c r="I49" s="7">
        <v>89</v>
      </c>
      <c r="J49" s="7" t="s">
        <v>74</v>
      </c>
      <c r="K49" s="7">
        <v>814</v>
      </c>
      <c r="L49" s="7">
        <v>39</v>
      </c>
      <c r="M49" s="7" t="s">
        <v>59</v>
      </c>
      <c r="N49" s="10">
        <v>7.5803299657525136E-2</v>
      </c>
      <c r="O49" s="7">
        <v>0.12</v>
      </c>
      <c r="P49" s="7">
        <v>0.45</v>
      </c>
    </row>
    <row r="50" spans="1:16" x14ac:dyDescent="0.15">
      <c r="A50" s="7">
        <v>1046</v>
      </c>
      <c r="B50" s="19">
        <v>45379</v>
      </c>
      <c r="C50" s="7">
        <v>360</v>
      </c>
      <c r="D50" s="19">
        <v>45747</v>
      </c>
      <c r="E50" s="7">
        <v>12</v>
      </c>
      <c r="F50" s="30">
        <v>332530</v>
      </c>
      <c r="G50" s="30">
        <v>304316.88626526896</v>
      </c>
      <c r="H50" s="28">
        <v>377875</v>
      </c>
      <c r="I50" s="7">
        <v>88</v>
      </c>
      <c r="J50" s="7" t="s">
        <v>71</v>
      </c>
      <c r="K50" s="7">
        <v>689</v>
      </c>
      <c r="L50" s="7">
        <v>23</v>
      </c>
      <c r="M50" s="7" t="s">
        <v>59</v>
      </c>
      <c r="N50" s="10">
        <v>7.6139214848455858E-2</v>
      </c>
      <c r="O50" s="7">
        <v>0.12</v>
      </c>
      <c r="P50" s="7">
        <v>0.42</v>
      </c>
    </row>
    <row r="51" spans="1:16" x14ac:dyDescent="0.15">
      <c r="A51" s="7">
        <v>1047</v>
      </c>
      <c r="B51" s="19">
        <v>45393</v>
      </c>
      <c r="C51" s="7">
        <v>360</v>
      </c>
      <c r="D51" s="19">
        <v>45747</v>
      </c>
      <c r="E51" s="7">
        <v>11</v>
      </c>
      <c r="F51" s="30">
        <v>492721</v>
      </c>
      <c r="G51" s="30">
        <v>462984.93376770685</v>
      </c>
      <c r="H51" s="28">
        <v>518653.68421052635</v>
      </c>
      <c r="I51" s="7">
        <v>95</v>
      </c>
      <c r="J51" s="7" t="s">
        <v>74</v>
      </c>
      <c r="K51" s="7">
        <v>734</v>
      </c>
      <c r="L51" s="7">
        <v>38</v>
      </c>
      <c r="M51" s="7" t="s">
        <v>59</v>
      </c>
      <c r="N51" s="10">
        <v>5.1924227806760398E-2</v>
      </c>
      <c r="O51" s="7">
        <v>0.3</v>
      </c>
      <c r="P51" s="7">
        <v>0.36</v>
      </c>
    </row>
    <row r="52" spans="1:16" x14ac:dyDescent="0.15">
      <c r="A52" s="7">
        <v>1048</v>
      </c>
      <c r="B52" s="19">
        <v>45386</v>
      </c>
      <c r="C52" s="7">
        <v>360</v>
      </c>
      <c r="D52" s="19">
        <v>45747</v>
      </c>
      <c r="E52" s="7">
        <v>11</v>
      </c>
      <c r="F52" s="30">
        <v>169639</v>
      </c>
      <c r="G52" s="30">
        <v>159281.43664280977</v>
      </c>
      <c r="H52" s="28">
        <v>186416.48351648351</v>
      </c>
      <c r="I52" s="7">
        <v>91</v>
      </c>
      <c r="J52" s="7" t="s">
        <v>63</v>
      </c>
      <c r="K52" s="7">
        <v>821</v>
      </c>
      <c r="L52" s="7">
        <v>48</v>
      </c>
      <c r="M52" s="7" t="s">
        <v>59</v>
      </c>
      <c r="N52" s="10">
        <v>5.296045091624383E-2</v>
      </c>
      <c r="O52" s="7">
        <v>0.25</v>
      </c>
      <c r="P52" s="7">
        <v>0.44</v>
      </c>
    </row>
    <row r="53" spans="1:16" x14ac:dyDescent="0.15">
      <c r="A53" s="7">
        <v>1049</v>
      </c>
      <c r="B53" s="19">
        <v>45296</v>
      </c>
      <c r="C53" s="7">
        <v>360</v>
      </c>
      <c r="D53" s="19">
        <v>45747</v>
      </c>
      <c r="E53" s="7">
        <v>14</v>
      </c>
      <c r="F53" s="30">
        <v>448983</v>
      </c>
      <c r="G53" s="30">
        <v>408946.8203907315</v>
      </c>
      <c r="H53" s="28">
        <v>498870</v>
      </c>
      <c r="I53" s="7">
        <v>90</v>
      </c>
      <c r="J53" s="7" t="s">
        <v>71</v>
      </c>
      <c r="K53" s="7">
        <v>616</v>
      </c>
      <c r="L53" s="7">
        <v>11</v>
      </c>
      <c r="M53" s="7" t="s">
        <v>59</v>
      </c>
      <c r="N53" s="10">
        <v>6.573877473959365E-2</v>
      </c>
      <c r="O53" s="7">
        <v>0.25</v>
      </c>
      <c r="P53" s="7">
        <v>0.44</v>
      </c>
    </row>
    <row r="54" spans="1:16" x14ac:dyDescent="0.15">
      <c r="A54" s="7">
        <v>1050</v>
      </c>
      <c r="B54" s="19">
        <v>45446</v>
      </c>
      <c r="C54" s="7">
        <v>360</v>
      </c>
      <c r="D54" s="19">
        <v>45747</v>
      </c>
      <c r="E54" s="7">
        <v>9</v>
      </c>
      <c r="F54" s="30">
        <v>153913</v>
      </c>
      <c r="G54" s="30">
        <v>146457.30181197761</v>
      </c>
      <c r="H54" s="28">
        <v>178968.60465116278</v>
      </c>
      <c r="I54" s="7">
        <v>86</v>
      </c>
      <c r="J54" s="7" t="s">
        <v>71</v>
      </c>
      <c r="K54" s="7">
        <v>745</v>
      </c>
      <c r="L54" s="7">
        <v>23</v>
      </c>
      <c r="M54" s="7" t="s">
        <v>59</v>
      </c>
      <c r="N54" s="10">
        <v>5.0230827720862237E-2</v>
      </c>
      <c r="O54" s="7">
        <v>0.12</v>
      </c>
      <c r="P54" s="7">
        <v>0.33</v>
      </c>
    </row>
    <row r="55" spans="1:16" x14ac:dyDescent="0.15">
      <c r="A55" s="7">
        <v>1051</v>
      </c>
      <c r="B55" s="19">
        <v>45301</v>
      </c>
      <c r="C55" s="7">
        <v>360</v>
      </c>
      <c r="D55" s="19">
        <v>45747</v>
      </c>
      <c r="E55" s="7">
        <v>14</v>
      </c>
      <c r="F55" s="30">
        <v>788017</v>
      </c>
      <c r="G55" s="30">
        <v>713578.04787041072</v>
      </c>
      <c r="H55" s="28">
        <v>916298.83720930235</v>
      </c>
      <c r="I55" s="7">
        <v>86</v>
      </c>
      <c r="J55" s="7" t="s">
        <v>66</v>
      </c>
      <c r="K55" s="7">
        <v>696</v>
      </c>
      <c r="L55" s="7">
        <v>39</v>
      </c>
      <c r="M55" s="7" t="s">
        <v>59</v>
      </c>
      <c r="N55" s="10">
        <v>7.1401333198114911E-2</v>
      </c>
      <c r="O55" s="7">
        <v>0.12</v>
      </c>
      <c r="P55" s="7">
        <v>0.34</v>
      </c>
    </row>
    <row r="56" spans="1:16" x14ac:dyDescent="0.15">
      <c r="A56" s="7">
        <v>1052</v>
      </c>
      <c r="B56" s="19">
        <v>45298</v>
      </c>
      <c r="C56" s="7">
        <v>360</v>
      </c>
      <c r="D56" s="19">
        <v>45747</v>
      </c>
      <c r="E56" s="7">
        <v>14</v>
      </c>
      <c r="F56" s="30">
        <v>628862</v>
      </c>
      <c r="G56" s="30">
        <v>564983.22028791357</v>
      </c>
      <c r="H56" s="28">
        <v>786077.5</v>
      </c>
      <c r="I56" s="7">
        <v>80</v>
      </c>
      <c r="J56" s="7" t="s">
        <v>71</v>
      </c>
      <c r="K56" s="7">
        <v>620</v>
      </c>
      <c r="L56" s="7">
        <v>38</v>
      </c>
      <c r="M56" s="7" t="s">
        <v>59</v>
      </c>
      <c r="N56" s="10">
        <v>7.8820647412806047E-2</v>
      </c>
      <c r="O56" s="7">
        <v>0.12</v>
      </c>
      <c r="P56" s="7">
        <v>0.39</v>
      </c>
    </row>
    <row r="57" spans="1:16" x14ac:dyDescent="0.15">
      <c r="A57" s="7">
        <v>1053</v>
      </c>
      <c r="B57" s="19">
        <v>45426</v>
      </c>
      <c r="C57" s="7">
        <v>360</v>
      </c>
      <c r="D57" s="19">
        <v>45747</v>
      </c>
      <c r="E57" s="7">
        <v>10</v>
      </c>
      <c r="F57" s="30">
        <v>617094</v>
      </c>
      <c r="G57" s="30">
        <v>582739.95846819226</v>
      </c>
      <c r="H57" s="28">
        <v>670754.34782608692</v>
      </c>
      <c r="I57" s="7">
        <v>92</v>
      </c>
      <c r="J57" s="7" t="s">
        <v>69</v>
      </c>
      <c r="K57" s="7">
        <v>639</v>
      </c>
      <c r="L57" s="7">
        <v>22</v>
      </c>
      <c r="M57" s="7" t="s">
        <v>59</v>
      </c>
      <c r="N57" s="10">
        <v>5.3225653075694358E-2</v>
      </c>
      <c r="O57" s="7">
        <v>0.25</v>
      </c>
      <c r="P57" s="7">
        <v>0.39</v>
      </c>
    </row>
    <row r="58" spans="1:16" x14ac:dyDescent="0.15">
      <c r="A58" s="7">
        <v>1054</v>
      </c>
      <c r="B58" s="19">
        <v>45450</v>
      </c>
      <c r="C58" s="7">
        <v>360</v>
      </c>
      <c r="D58" s="19">
        <v>45747</v>
      </c>
      <c r="E58" s="7">
        <v>9</v>
      </c>
      <c r="F58" s="30">
        <v>348927</v>
      </c>
      <c r="G58" s="30">
        <v>330422.97705963533</v>
      </c>
      <c r="H58" s="28">
        <v>392052.80898876407</v>
      </c>
      <c r="I58" s="7">
        <v>89</v>
      </c>
      <c r="J58" s="7" t="s">
        <v>70</v>
      </c>
      <c r="K58" s="7">
        <v>757</v>
      </c>
      <c r="L58" s="7">
        <v>2</v>
      </c>
      <c r="M58" s="7" t="s">
        <v>59</v>
      </c>
      <c r="N58" s="10">
        <v>5.8389497028983717E-2</v>
      </c>
      <c r="O58" s="7">
        <v>0.12</v>
      </c>
      <c r="P58" s="7">
        <v>0.24</v>
      </c>
    </row>
    <row r="59" spans="1:16" x14ac:dyDescent="0.15">
      <c r="A59" s="7">
        <v>1055</v>
      </c>
      <c r="B59" s="19">
        <v>45326</v>
      </c>
      <c r="C59" s="7">
        <v>360</v>
      </c>
      <c r="D59" s="19">
        <v>45747</v>
      </c>
      <c r="E59" s="7">
        <v>13</v>
      </c>
      <c r="F59" s="30">
        <v>492806</v>
      </c>
      <c r="G59" s="30">
        <v>455098.03643355682</v>
      </c>
      <c r="H59" s="28">
        <v>600982.92682926834</v>
      </c>
      <c r="I59" s="7">
        <v>82</v>
      </c>
      <c r="J59" s="7" t="s">
        <v>70</v>
      </c>
      <c r="K59" s="7">
        <v>639</v>
      </c>
      <c r="L59" s="7">
        <v>11</v>
      </c>
      <c r="M59" s="7" t="s">
        <v>59</v>
      </c>
      <c r="N59" s="10">
        <v>5.8288445265483046E-2</v>
      </c>
      <c r="O59" s="7">
        <v>0.12</v>
      </c>
      <c r="P59" s="7">
        <v>0.26</v>
      </c>
    </row>
    <row r="60" spans="1:16" x14ac:dyDescent="0.15">
      <c r="A60" s="7">
        <v>1056</v>
      </c>
      <c r="B60" s="19">
        <v>45427</v>
      </c>
      <c r="C60" s="7">
        <v>360</v>
      </c>
      <c r="D60" s="19">
        <v>45747</v>
      </c>
      <c r="E60" s="7">
        <v>10</v>
      </c>
      <c r="F60" s="30">
        <v>757974</v>
      </c>
      <c r="G60" s="30">
        <v>713601.14512453659</v>
      </c>
      <c r="H60" s="28">
        <v>913221.68674698798</v>
      </c>
      <c r="I60" s="7">
        <v>83</v>
      </c>
      <c r="J60" s="7" t="s">
        <v>68</v>
      </c>
      <c r="K60" s="7">
        <v>666</v>
      </c>
      <c r="L60" s="7">
        <v>23</v>
      </c>
      <c r="M60" s="7" t="s">
        <v>59</v>
      </c>
      <c r="N60" s="10">
        <v>5.7789610789238825E-2</v>
      </c>
      <c r="O60" s="7">
        <v>0.12</v>
      </c>
      <c r="P60" s="7">
        <v>0.41</v>
      </c>
    </row>
    <row r="61" spans="1:16" x14ac:dyDescent="0.15">
      <c r="A61" s="7">
        <v>1057</v>
      </c>
      <c r="B61" s="19">
        <v>45428</v>
      </c>
      <c r="C61" s="7">
        <v>360</v>
      </c>
      <c r="D61" s="19">
        <v>45747</v>
      </c>
      <c r="E61" s="7">
        <v>10</v>
      </c>
      <c r="F61" s="30">
        <v>157121</v>
      </c>
      <c r="G61" s="30">
        <v>145714.88176440346</v>
      </c>
      <c r="H61" s="28">
        <v>172660.43956043955</v>
      </c>
      <c r="I61" s="7">
        <v>91</v>
      </c>
      <c r="J61" s="7" t="s">
        <v>73</v>
      </c>
      <c r="K61" s="7">
        <v>826</v>
      </c>
      <c r="L61" s="7">
        <v>13</v>
      </c>
      <c r="M61" s="7" t="s">
        <v>59</v>
      </c>
      <c r="N61" s="10">
        <v>7.8876101834963852E-2</v>
      </c>
      <c r="O61" s="7">
        <v>0.25</v>
      </c>
      <c r="P61" s="7">
        <v>0.22</v>
      </c>
    </row>
    <row r="62" spans="1:16" x14ac:dyDescent="0.15">
      <c r="A62" s="7">
        <v>1058</v>
      </c>
      <c r="B62" s="19">
        <v>45292</v>
      </c>
      <c r="C62" s="7">
        <v>360</v>
      </c>
      <c r="D62" s="19">
        <v>45747</v>
      </c>
      <c r="E62" s="7">
        <v>14</v>
      </c>
      <c r="F62" s="30">
        <v>132775</v>
      </c>
      <c r="G62" s="30">
        <v>122340.20112742115</v>
      </c>
      <c r="H62" s="28">
        <v>156205.88235294117</v>
      </c>
      <c r="I62" s="7">
        <v>85</v>
      </c>
      <c r="J62" s="7" t="s">
        <v>70</v>
      </c>
      <c r="K62" s="7">
        <v>845</v>
      </c>
      <c r="L62" s="7">
        <v>10</v>
      </c>
      <c r="M62" s="7" t="s">
        <v>59</v>
      </c>
      <c r="N62" s="10">
        <v>5.3972279740447091E-2</v>
      </c>
      <c r="O62" s="7">
        <v>0.12</v>
      </c>
      <c r="P62" s="7">
        <v>0.4</v>
      </c>
    </row>
    <row r="63" spans="1:16" x14ac:dyDescent="0.15">
      <c r="A63" s="7">
        <v>1059</v>
      </c>
      <c r="B63" s="19">
        <v>45301</v>
      </c>
      <c r="C63" s="7">
        <v>360</v>
      </c>
      <c r="D63" s="19">
        <v>45747</v>
      </c>
      <c r="E63" s="7">
        <v>14</v>
      </c>
      <c r="F63" s="30">
        <v>347248</v>
      </c>
      <c r="G63" s="30">
        <v>318279.52391924214</v>
      </c>
      <c r="H63" s="28">
        <v>357987.62886597938</v>
      </c>
      <c r="I63" s="7">
        <v>97</v>
      </c>
      <c r="J63" s="7" t="s">
        <v>61</v>
      </c>
      <c r="K63" s="7">
        <v>738</v>
      </c>
      <c r="L63" s="7">
        <v>38</v>
      </c>
      <c r="M63" s="7" t="s">
        <v>59</v>
      </c>
      <c r="N63" s="10">
        <v>5.9428111312938653E-2</v>
      </c>
      <c r="O63" s="7">
        <v>0.35</v>
      </c>
      <c r="P63" s="7">
        <v>0.35</v>
      </c>
    </row>
    <row r="64" spans="1:16" x14ac:dyDescent="0.15">
      <c r="A64" s="7">
        <v>1060</v>
      </c>
      <c r="B64" s="19">
        <v>45371</v>
      </c>
      <c r="C64" s="7">
        <v>360</v>
      </c>
      <c r="D64" s="19">
        <v>45747</v>
      </c>
      <c r="E64" s="7">
        <v>12</v>
      </c>
      <c r="F64" s="30">
        <v>161687</v>
      </c>
      <c r="G64" s="30">
        <v>149180.66891660003</v>
      </c>
      <c r="H64" s="28">
        <v>166687.62886597938</v>
      </c>
      <c r="I64" s="7">
        <v>97</v>
      </c>
      <c r="J64" s="7" t="s">
        <v>62</v>
      </c>
      <c r="K64" s="7">
        <v>795</v>
      </c>
      <c r="L64" s="7">
        <v>30</v>
      </c>
      <c r="M64" s="7" t="s">
        <v>59</v>
      </c>
      <c r="N64" s="10">
        <v>6.6894023926348578E-2</v>
      </c>
      <c r="O64" s="7">
        <v>0.35</v>
      </c>
      <c r="P64" s="7">
        <v>0.43</v>
      </c>
    </row>
    <row r="65" spans="1:16" x14ac:dyDescent="0.15">
      <c r="A65" s="7">
        <v>1061</v>
      </c>
      <c r="B65" s="19">
        <v>45418</v>
      </c>
      <c r="C65" s="7">
        <v>360</v>
      </c>
      <c r="D65" s="19">
        <v>45747</v>
      </c>
      <c r="E65" s="7">
        <v>10</v>
      </c>
      <c r="F65" s="30">
        <v>369632</v>
      </c>
      <c r="G65" s="30">
        <v>344159.31149408256</v>
      </c>
      <c r="H65" s="28">
        <v>445339.75903614459</v>
      </c>
      <c r="I65" s="7">
        <v>83</v>
      </c>
      <c r="J65" s="7" t="s">
        <v>69</v>
      </c>
      <c r="K65" s="7">
        <v>630</v>
      </c>
      <c r="L65" s="7">
        <v>47</v>
      </c>
      <c r="M65" s="7" t="s">
        <v>59</v>
      </c>
      <c r="N65" s="10">
        <v>7.3524134590977508E-2</v>
      </c>
      <c r="O65" s="7">
        <v>0.12</v>
      </c>
      <c r="P65" s="7">
        <v>0.38</v>
      </c>
    </row>
    <row r="66" spans="1:16" x14ac:dyDescent="0.15">
      <c r="A66" s="7">
        <v>1062</v>
      </c>
      <c r="B66" s="19">
        <v>45431</v>
      </c>
      <c r="C66" s="7">
        <v>360</v>
      </c>
      <c r="D66" s="19">
        <v>45747</v>
      </c>
      <c r="E66" s="7">
        <v>10</v>
      </c>
      <c r="F66" s="30">
        <v>333523</v>
      </c>
      <c r="G66" s="30">
        <v>310657.29586418637</v>
      </c>
      <c r="H66" s="28">
        <v>397051.19047619047</v>
      </c>
      <c r="I66" s="7">
        <v>84</v>
      </c>
      <c r="J66" s="7" t="s">
        <v>61</v>
      </c>
      <c r="K66" s="7">
        <v>685</v>
      </c>
      <c r="L66" s="7">
        <v>0</v>
      </c>
      <c r="M66" s="7" t="s">
        <v>59</v>
      </c>
      <c r="N66" s="10">
        <v>7.3001486212609171E-2</v>
      </c>
      <c r="O66" s="7">
        <v>0.12</v>
      </c>
      <c r="P66" s="7">
        <v>0.24</v>
      </c>
    </row>
    <row r="67" spans="1:16" x14ac:dyDescent="0.15">
      <c r="A67" s="7">
        <v>1063</v>
      </c>
      <c r="B67" s="19">
        <v>45390</v>
      </c>
      <c r="C67" s="7">
        <v>360</v>
      </c>
      <c r="D67" s="19">
        <v>45747</v>
      </c>
      <c r="E67" s="7">
        <v>11</v>
      </c>
      <c r="F67" s="30">
        <v>395006</v>
      </c>
      <c r="G67" s="30">
        <v>364206.35298044636</v>
      </c>
      <c r="H67" s="28">
        <v>443826.96629213484</v>
      </c>
      <c r="I67" s="7">
        <v>89</v>
      </c>
      <c r="J67" s="7" t="s">
        <v>63</v>
      </c>
      <c r="K67" s="7">
        <v>699</v>
      </c>
      <c r="L67" s="7">
        <v>2</v>
      </c>
      <c r="M67" s="7" t="s">
        <v>59</v>
      </c>
      <c r="N67" s="10">
        <v>7.6402319211977848E-2</v>
      </c>
      <c r="O67" s="7">
        <v>0.12</v>
      </c>
      <c r="P67" s="7">
        <v>0.36</v>
      </c>
    </row>
    <row r="68" spans="1:16" x14ac:dyDescent="0.15">
      <c r="A68" s="7">
        <v>1064</v>
      </c>
      <c r="B68" s="19">
        <v>45447</v>
      </c>
      <c r="C68" s="7">
        <v>360</v>
      </c>
      <c r="D68" s="19">
        <v>45747</v>
      </c>
      <c r="E68" s="7">
        <v>9</v>
      </c>
      <c r="F68" s="30">
        <v>287251</v>
      </c>
      <c r="G68" s="30">
        <v>270800.50669605919</v>
      </c>
      <c r="H68" s="28">
        <v>350306.09756097564</v>
      </c>
      <c r="I68" s="7">
        <v>82</v>
      </c>
      <c r="J68" s="7" t="s">
        <v>60</v>
      </c>
      <c r="K68" s="7">
        <v>683</v>
      </c>
      <c r="L68" s="7">
        <v>10</v>
      </c>
      <c r="M68" s="7" t="s">
        <v>59</v>
      </c>
      <c r="N68" s="10">
        <v>6.5645476506086653E-2</v>
      </c>
      <c r="O68" s="7">
        <v>0.12</v>
      </c>
      <c r="P68" s="7">
        <v>0.27</v>
      </c>
    </row>
    <row r="69" spans="1:16" x14ac:dyDescent="0.15">
      <c r="A69" s="7">
        <v>1065</v>
      </c>
      <c r="B69" s="19">
        <v>45324</v>
      </c>
      <c r="C69" s="7">
        <v>360</v>
      </c>
      <c r="D69" s="19">
        <v>45747</v>
      </c>
      <c r="E69" s="7">
        <v>13</v>
      </c>
      <c r="F69" s="30">
        <v>360124</v>
      </c>
      <c r="G69" s="30">
        <v>327650.19694721891</v>
      </c>
      <c r="H69" s="28">
        <v>450155</v>
      </c>
      <c r="I69" s="7">
        <v>80</v>
      </c>
      <c r="J69" s="7" t="s">
        <v>69</v>
      </c>
      <c r="K69" s="7">
        <v>748</v>
      </c>
      <c r="L69" s="7">
        <v>12</v>
      </c>
      <c r="M69" s="7" t="s">
        <v>59</v>
      </c>
      <c r="N69" s="10">
        <v>7.4185509098505881E-2</v>
      </c>
      <c r="O69" s="7">
        <v>0.12</v>
      </c>
      <c r="P69" s="7">
        <v>0.38</v>
      </c>
    </row>
    <row r="70" spans="1:16" x14ac:dyDescent="0.15">
      <c r="A70" s="7">
        <v>1066</v>
      </c>
      <c r="B70" s="19">
        <v>45450</v>
      </c>
      <c r="C70" s="7">
        <v>360</v>
      </c>
      <c r="D70" s="19">
        <v>45747</v>
      </c>
      <c r="E70" s="7">
        <v>9</v>
      </c>
      <c r="F70" s="30">
        <v>277779</v>
      </c>
      <c r="G70" s="30">
        <v>262481.36009237863</v>
      </c>
      <c r="H70" s="28">
        <v>289353.125</v>
      </c>
      <c r="I70" s="7">
        <v>96</v>
      </c>
      <c r="J70" s="7" t="s">
        <v>72</v>
      </c>
      <c r="K70" s="7">
        <v>789</v>
      </c>
      <c r="L70" s="7">
        <v>33</v>
      </c>
      <c r="M70" s="7" t="s">
        <v>59</v>
      </c>
      <c r="N70" s="10">
        <v>6.1912747484695912E-2</v>
      </c>
      <c r="O70" s="7">
        <v>0.3</v>
      </c>
      <c r="P70" s="7">
        <v>0.42</v>
      </c>
    </row>
    <row r="71" spans="1:16" x14ac:dyDescent="0.15">
      <c r="A71" s="7">
        <v>1067</v>
      </c>
      <c r="B71" s="19">
        <v>45394</v>
      </c>
      <c r="C71" s="7">
        <v>360</v>
      </c>
      <c r="D71" s="19">
        <v>45747</v>
      </c>
      <c r="E71" s="7">
        <v>11</v>
      </c>
      <c r="F71" s="30">
        <v>426140</v>
      </c>
      <c r="G71" s="30">
        <v>400639.2896279681</v>
      </c>
      <c r="H71" s="28">
        <v>473488.88888888888</v>
      </c>
      <c r="I71" s="7">
        <v>90</v>
      </c>
      <c r="J71" s="7" t="s">
        <v>65</v>
      </c>
      <c r="K71" s="7">
        <v>685</v>
      </c>
      <c r="L71" s="7">
        <v>28</v>
      </c>
      <c r="M71" s="7" t="s">
        <v>59</v>
      </c>
      <c r="N71" s="10">
        <v>5.1172547474844239E-2</v>
      </c>
      <c r="O71" s="7">
        <v>0.25</v>
      </c>
      <c r="P71" s="7">
        <v>0.24</v>
      </c>
    </row>
    <row r="72" spans="1:16" x14ac:dyDescent="0.15">
      <c r="A72" s="7">
        <v>1068</v>
      </c>
      <c r="B72" s="19">
        <v>45393</v>
      </c>
      <c r="C72" s="7">
        <v>360</v>
      </c>
      <c r="D72" s="19">
        <v>45747</v>
      </c>
      <c r="E72" s="7">
        <v>11</v>
      </c>
      <c r="F72" s="30">
        <v>546654</v>
      </c>
      <c r="G72" s="30">
        <v>507153.49815849843</v>
      </c>
      <c r="H72" s="28">
        <v>635644.18604651163</v>
      </c>
      <c r="I72" s="7">
        <v>86</v>
      </c>
      <c r="J72" s="7" t="s">
        <v>66</v>
      </c>
      <c r="K72" s="7">
        <v>711</v>
      </c>
      <c r="L72" s="7">
        <v>46</v>
      </c>
      <c r="M72" s="7" t="s">
        <v>59</v>
      </c>
      <c r="N72" s="10">
        <v>6.8745265747656534E-2</v>
      </c>
      <c r="O72" s="7">
        <v>0.12</v>
      </c>
      <c r="P72" s="7">
        <v>0.22</v>
      </c>
    </row>
    <row r="73" spans="1:16" x14ac:dyDescent="0.15">
      <c r="A73" s="7">
        <v>1069</v>
      </c>
      <c r="B73" s="19">
        <v>45312</v>
      </c>
      <c r="C73" s="7">
        <v>360</v>
      </c>
      <c r="D73" s="19">
        <v>45747</v>
      </c>
      <c r="E73" s="7">
        <v>14</v>
      </c>
      <c r="F73" s="30">
        <v>164122</v>
      </c>
      <c r="G73" s="30">
        <v>151126.04014127571</v>
      </c>
      <c r="H73" s="28">
        <v>169197.93814432991</v>
      </c>
      <c r="I73" s="7">
        <v>97</v>
      </c>
      <c r="J73" s="7" t="s">
        <v>65</v>
      </c>
      <c r="K73" s="7">
        <v>680</v>
      </c>
      <c r="L73" s="7">
        <v>10</v>
      </c>
      <c r="M73" s="7" t="s">
        <v>59</v>
      </c>
      <c r="N73" s="10">
        <v>5.4651656103704163E-2</v>
      </c>
      <c r="O73" s="7">
        <v>0.35</v>
      </c>
      <c r="P73" s="7">
        <v>0.24</v>
      </c>
    </row>
    <row r="74" spans="1:16" x14ac:dyDescent="0.15">
      <c r="A74" s="7">
        <v>1070</v>
      </c>
      <c r="B74" s="19">
        <v>45396</v>
      </c>
      <c r="C74" s="7">
        <v>360</v>
      </c>
      <c r="D74" s="19">
        <v>45747</v>
      </c>
      <c r="E74" s="7">
        <v>11</v>
      </c>
      <c r="F74" s="30">
        <v>164602</v>
      </c>
      <c r="G74" s="30">
        <v>154105.65153827361</v>
      </c>
      <c r="H74" s="28">
        <v>193649.41176470587</v>
      </c>
      <c r="I74" s="7">
        <v>85</v>
      </c>
      <c r="J74" s="7" t="s">
        <v>71</v>
      </c>
      <c r="K74" s="7">
        <v>803</v>
      </c>
      <c r="L74" s="7">
        <v>50</v>
      </c>
      <c r="M74" s="7" t="s">
        <v>59</v>
      </c>
      <c r="N74" s="10">
        <v>5.6890947676528435E-2</v>
      </c>
      <c r="O74" s="7">
        <v>0.12</v>
      </c>
      <c r="P74" s="7">
        <v>0.36</v>
      </c>
    </row>
    <row r="75" spans="1:16" x14ac:dyDescent="0.15">
      <c r="A75" s="7">
        <v>1071</v>
      </c>
      <c r="B75" s="19">
        <v>45363</v>
      </c>
      <c r="C75" s="7">
        <v>360</v>
      </c>
      <c r="D75" s="19">
        <v>45747</v>
      </c>
      <c r="E75" s="7">
        <v>12</v>
      </c>
      <c r="F75" s="30">
        <v>682759</v>
      </c>
      <c r="G75" s="30">
        <v>637102.94398854091</v>
      </c>
      <c r="H75" s="28">
        <v>711207.29166666674</v>
      </c>
      <c r="I75" s="7">
        <v>96</v>
      </c>
      <c r="J75" s="7" t="s">
        <v>66</v>
      </c>
      <c r="K75" s="7">
        <v>832</v>
      </c>
      <c r="L75" s="7">
        <v>32</v>
      </c>
      <c r="M75" s="7" t="s">
        <v>59</v>
      </c>
      <c r="N75" s="10">
        <v>5.3312929959868818E-2</v>
      </c>
      <c r="O75" s="7">
        <v>0.3</v>
      </c>
      <c r="P75" s="7">
        <v>0.4</v>
      </c>
    </row>
    <row r="76" spans="1:16" x14ac:dyDescent="0.15">
      <c r="A76" s="7">
        <v>1072</v>
      </c>
      <c r="B76" s="19">
        <v>45340</v>
      </c>
      <c r="C76" s="7">
        <v>360</v>
      </c>
      <c r="D76" s="19">
        <v>45747</v>
      </c>
      <c r="E76" s="7">
        <v>13</v>
      </c>
      <c r="F76" s="30">
        <v>394902</v>
      </c>
      <c r="G76" s="30">
        <v>365024.13206341607</v>
      </c>
      <c r="H76" s="28">
        <v>453910.3448275862</v>
      </c>
      <c r="I76" s="7">
        <v>87</v>
      </c>
      <c r="J76" s="7" t="s">
        <v>72</v>
      </c>
      <c r="K76" s="7">
        <v>844</v>
      </c>
      <c r="L76" s="7">
        <v>45</v>
      </c>
      <c r="M76" s="7" t="s">
        <v>59</v>
      </c>
      <c r="N76" s="10">
        <v>5.7250977048784721E-2</v>
      </c>
      <c r="O76" s="7">
        <v>0.12</v>
      </c>
      <c r="P76" s="7">
        <v>0.25</v>
      </c>
    </row>
    <row r="77" spans="1:16" x14ac:dyDescent="0.15">
      <c r="A77" s="7">
        <v>1073</v>
      </c>
      <c r="B77" s="19">
        <v>45381</v>
      </c>
      <c r="C77" s="7">
        <v>360</v>
      </c>
      <c r="D77" s="19">
        <v>45747</v>
      </c>
      <c r="E77" s="7">
        <v>12</v>
      </c>
      <c r="F77" s="30">
        <v>788363</v>
      </c>
      <c r="G77" s="30">
        <v>735044.30289276678</v>
      </c>
      <c r="H77" s="28">
        <v>847702.15053763438</v>
      </c>
      <c r="I77" s="7">
        <v>93</v>
      </c>
      <c r="J77" s="7" t="s">
        <v>72</v>
      </c>
      <c r="K77" s="7">
        <v>735</v>
      </c>
      <c r="L77" s="7">
        <v>18</v>
      </c>
      <c r="M77" s="7" t="s">
        <v>59</v>
      </c>
      <c r="N77" s="10">
        <v>5.4331425139800632E-2</v>
      </c>
      <c r="O77" s="7">
        <v>0.25</v>
      </c>
      <c r="P77" s="7">
        <v>0.43</v>
      </c>
    </row>
    <row r="78" spans="1:16" x14ac:dyDescent="0.15">
      <c r="A78" s="7">
        <v>1074</v>
      </c>
      <c r="B78" s="19">
        <v>45307</v>
      </c>
      <c r="C78" s="7">
        <v>360</v>
      </c>
      <c r="D78" s="19">
        <v>45747</v>
      </c>
      <c r="E78" s="7">
        <v>14</v>
      </c>
      <c r="F78" s="30">
        <v>567528</v>
      </c>
      <c r="G78" s="30">
        <v>515889.6572960621</v>
      </c>
      <c r="H78" s="28">
        <v>683768.67469879519</v>
      </c>
      <c r="I78" s="7">
        <v>83</v>
      </c>
      <c r="J78" s="7" t="s">
        <v>66</v>
      </c>
      <c r="K78" s="7">
        <v>619</v>
      </c>
      <c r="L78" s="7">
        <v>50</v>
      </c>
      <c r="M78" s="7" t="s">
        <v>59</v>
      </c>
      <c r="N78" s="10">
        <v>6.7698122449258658E-2</v>
      </c>
      <c r="O78" s="7">
        <v>0.12</v>
      </c>
      <c r="P78" s="7">
        <v>0.39</v>
      </c>
    </row>
    <row r="79" spans="1:16" x14ac:dyDescent="0.15">
      <c r="A79" s="7">
        <v>1075</v>
      </c>
      <c r="B79" s="19">
        <v>45444</v>
      </c>
      <c r="C79" s="7">
        <v>360</v>
      </c>
      <c r="D79" s="19">
        <v>45747</v>
      </c>
      <c r="E79" s="7">
        <v>9</v>
      </c>
      <c r="F79" s="30">
        <v>285931</v>
      </c>
      <c r="G79" s="30">
        <v>268634.22569253884</v>
      </c>
      <c r="H79" s="28">
        <v>332477.90697674418</v>
      </c>
      <c r="I79" s="7">
        <v>86</v>
      </c>
      <c r="J79" s="7" t="s">
        <v>63</v>
      </c>
      <c r="K79" s="7">
        <v>757</v>
      </c>
      <c r="L79" s="7">
        <v>25</v>
      </c>
      <c r="M79" s="7" t="s">
        <v>59</v>
      </c>
      <c r="N79" s="10">
        <v>7.1016395128206747E-2</v>
      </c>
      <c r="O79" s="7">
        <v>0.12</v>
      </c>
      <c r="P79" s="7">
        <v>0.38</v>
      </c>
    </row>
    <row r="80" spans="1:16" x14ac:dyDescent="0.15">
      <c r="A80" s="7">
        <v>1076</v>
      </c>
      <c r="B80" s="19">
        <v>45333</v>
      </c>
      <c r="C80" s="7">
        <v>360</v>
      </c>
      <c r="D80" s="19">
        <v>45747</v>
      </c>
      <c r="E80" s="7">
        <v>13</v>
      </c>
      <c r="F80" s="30">
        <v>700064</v>
      </c>
      <c r="G80" s="30">
        <v>646826.95522344275</v>
      </c>
      <c r="H80" s="28">
        <v>752756.98924731184</v>
      </c>
      <c r="I80" s="7">
        <v>93</v>
      </c>
      <c r="J80" s="7" t="s">
        <v>71</v>
      </c>
      <c r="K80" s="7">
        <v>630</v>
      </c>
      <c r="L80" s="7">
        <v>5</v>
      </c>
      <c r="M80" s="7" t="s">
        <v>59</v>
      </c>
      <c r="N80" s="10">
        <v>5.7719654640708662E-2</v>
      </c>
      <c r="O80" s="7">
        <v>0.25</v>
      </c>
      <c r="P80" s="7">
        <v>0.4</v>
      </c>
    </row>
    <row r="81" spans="1:16" x14ac:dyDescent="0.15">
      <c r="A81" s="7">
        <v>1077</v>
      </c>
      <c r="B81" s="19">
        <v>45364</v>
      </c>
      <c r="C81" s="7">
        <v>360</v>
      </c>
      <c r="D81" s="19">
        <v>45747</v>
      </c>
      <c r="E81" s="7">
        <v>12</v>
      </c>
      <c r="F81" s="30">
        <v>550571</v>
      </c>
      <c r="G81" s="30">
        <v>510665.58347329986</v>
      </c>
      <c r="H81" s="28">
        <v>655441.66666666674</v>
      </c>
      <c r="I81" s="7">
        <v>84</v>
      </c>
      <c r="J81" s="7" t="s">
        <v>71</v>
      </c>
      <c r="K81" s="7">
        <v>610</v>
      </c>
      <c r="L81" s="7">
        <v>10</v>
      </c>
      <c r="M81" s="7" t="s">
        <v>59</v>
      </c>
      <c r="N81" s="10">
        <v>6.0691025068733417E-2</v>
      </c>
      <c r="O81" s="7">
        <v>0.12</v>
      </c>
      <c r="P81" s="7">
        <v>0.42</v>
      </c>
    </row>
    <row r="82" spans="1:16" x14ac:dyDescent="0.15">
      <c r="A82" s="7">
        <v>1078</v>
      </c>
      <c r="B82" s="19">
        <v>45370</v>
      </c>
      <c r="C82" s="7">
        <v>360</v>
      </c>
      <c r="D82" s="19">
        <v>45747</v>
      </c>
      <c r="E82" s="7">
        <v>12</v>
      </c>
      <c r="F82" s="30">
        <v>216852</v>
      </c>
      <c r="G82" s="30">
        <v>198173.80526381938</v>
      </c>
      <c r="H82" s="28">
        <v>258157.14285714287</v>
      </c>
      <c r="I82" s="7">
        <v>84</v>
      </c>
      <c r="J82" s="7" t="s">
        <v>69</v>
      </c>
      <c r="K82" s="7">
        <v>822</v>
      </c>
      <c r="L82" s="7">
        <v>9</v>
      </c>
      <c r="M82" s="7" t="s">
        <v>59</v>
      </c>
      <c r="N82" s="10">
        <v>7.769758808860415E-2</v>
      </c>
      <c r="O82" s="7">
        <v>0.12</v>
      </c>
      <c r="P82" s="7">
        <v>0.31</v>
      </c>
    </row>
    <row r="83" spans="1:16" x14ac:dyDescent="0.15">
      <c r="A83" s="7">
        <v>1079</v>
      </c>
      <c r="B83" s="19">
        <v>45340</v>
      </c>
      <c r="C83" s="7">
        <v>360</v>
      </c>
      <c r="D83" s="19">
        <v>45747</v>
      </c>
      <c r="E83" s="7">
        <v>13</v>
      </c>
      <c r="F83" s="30">
        <v>320473</v>
      </c>
      <c r="G83" s="30">
        <v>290731.13062115578</v>
      </c>
      <c r="H83" s="28">
        <v>381515.47619047621</v>
      </c>
      <c r="I83" s="7">
        <v>84</v>
      </c>
      <c r="J83" s="7" t="s">
        <v>72</v>
      </c>
      <c r="K83" s="7">
        <v>708</v>
      </c>
      <c r="L83" s="7">
        <v>33</v>
      </c>
      <c r="M83" s="7" t="s">
        <v>59</v>
      </c>
      <c r="N83" s="10">
        <v>7.7135280765292163E-2</v>
      </c>
      <c r="O83" s="7">
        <v>0.12</v>
      </c>
      <c r="P83" s="7">
        <v>0.33</v>
      </c>
    </row>
    <row r="84" spans="1:16" x14ac:dyDescent="0.15">
      <c r="A84" s="7">
        <v>1080</v>
      </c>
      <c r="B84" s="19">
        <v>45435</v>
      </c>
      <c r="C84" s="7">
        <v>360</v>
      </c>
      <c r="D84" s="19">
        <v>45747</v>
      </c>
      <c r="E84" s="7">
        <v>10</v>
      </c>
      <c r="F84" s="30">
        <v>315262</v>
      </c>
      <c r="G84" s="30">
        <v>292572.17177795258</v>
      </c>
      <c r="H84" s="28">
        <v>375311.90476190479</v>
      </c>
      <c r="I84" s="7">
        <v>84</v>
      </c>
      <c r="J84" s="7" t="s">
        <v>65</v>
      </c>
      <c r="K84" s="7">
        <v>607</v>
      </c>
      <c r="L84" s="7">
        <v>0</v>
      </c>
      <c r="M84" s="7" t="s">
        <v>59</v>
      </c>
      <c r="N84" s="10">
        <v>7.7977303710439511E-2</v>
      </c>
      <c r="O84" s="7">
        <v>0.12</v>
      </c>
      <c r="P84" s="7">
        <v>0.21</v>
      </c>
    </row>
    <row r="85" spans="1:16" x14ac:dyDescent="0.15">
      <c r="A85" s="7">
        <v>1081</v>
      </c>
      <c r="B85" s="19">
        <v>45399</v>
      </c>
      <c r="C85" s="7">
        <v>360</v>
      </c>
      <c r="D85" s="19">
        <v>45747</v>
      </c>
      <c r="E85" s="7">
        <v>11</v>
      </c>
      <c r="F85" s="30">
        <v>127454</v>
      </c>
      <c r="G85" s="30">
        <v>117406.80884466931</v>
      </c>
      <c r="H85" s="28">
        <v>137047.31182795699</v>
      </c>
      <c r="I85" s="7">
        <v>93</v>
      </c>
      <c r="J85" s="7" t="s">
        <v>70</v>
      </c>
      <c r="K85" s="7">
        <v>766</v>
      </c>
      <c r="L85" s="7">
        <v>36</v>
      </c>
      <c r="M85" s="7" t="s">
        <v>59</v>
      </c>
      <c r="N85" s="10">
        <v>7.753235129316946E-2</v>
      </c>
      <c r="O85" s="7">
        <v>0.25</v>
      </c>
      <c r="P85" s="7">
        <v>0.38</v>
      </c>
    </row>
    <row r="86" spans="1:16" x14ac:dyDescent="0.15">
      <c r="A86" s="7">
        <v>1082</v>
      </c>
      <c r="B86" s="19">
        <v>45299</v>
      </c>
      <c r="C86" s="7">
        <v>360</v>
      </c>
      <c r="D86" s="19">
        <v>45747</v>
      </c>
      <c r="E86" s="7">
        <v>14</v>
      </c>
      <c r="F86" s="30">
        <v>719732</v>
      </c>
      <c r="G86" s="30">
        <v>661571.43202394131</v>
      </c>
      <c r="H86" s="28">
        <v>808687.64044943824</v>
      </c>
      <c r="I86" s="7">
        <v>89</v>
      </c>
      <c r="J86" s="7" t="s">
        <v>64</v>
      </c>
      <c r="K86" s="7">
        <v>615</v>
      </c>
      <c r="L86" s="7">
        <v>21</v>
      </c>
      <c r="M86" s="7" t="s">
        <v>59</v>
      </c>
      <c r="N86" s="10">
        <v>5.6495067604014473E-2</v>
      </c>
      <c r="O86" s="7">
        <v>0.12</v>
      </c>
      <c r="P86" s="7">
        <v>0.23</v>
      </c>
    </row>
    <row r="87" spans="1:16" x14ac:dyDescent="0.15">
      <c r="A87" s="7">
        <v>1083</v>
      </c>
      <c r="B87" s="19">
        <v>45429</v>
      </c>
      <c r="C87" s="7">
        <v>360</v>
      </c>
      <c r="D87" s="19">
        <v>45747</v>
      </c>
      <c r="E87" s="7">
        <v>10</v>
      </c>
      <c r="F87" s="30">
        <v>497567</v>
      </c>
      <c r="G87" s="30">
        <v>465094.4208049213</v>
      </c>
      <c r="H87" s="28">
        <v>559064.04494382022</v>
      </c>
      <c r="I87" s="7">
        <v>89</v>
      </c>
      <c r="J87" s="7" t="s">
        <v>67</v>
      </c>
      <c r="K87" s="7">
        <v>719</v>
      </c>
      <c r="L87" s="7">
        <v>20</v>
      </c>
      <c r="M87" s="7" t="s">
        <v>59</v>
      </c>
      <c r="N87" s="10">
        <v>6.8105376431332798E-2</v>
      </c>
      <c r="O87" s="7">
        <v>0.12</v>
      </c>
      <c r="P87" s="7">
        <v>0.35</v>
      </c>
    </row>
    <row r="88" spans="1:16" x14ac:dyDescent="0.15">
      <c r="A88" s="7">
        <v>1084</v>
      </c>
      <c r="B88" s="19">
        <v>45292</v>
      </c>
      <c r="C88" s="7">
        <v>360</v>
      </c>
      <c r="D88" s="19">
        <v>45747</v>
      </c>
      <c r="E88" s="7">
        <v>14</v>
      </c>
      <c r="F88" s="30">
        <v>583449</v>
      </c>
      <c r="G88" s="30">
        <v>530692.60994703148</v>
      </c>
      <c r="H88" s="28">
        <v>601493.81443298969</v>
      </c>
      <c r="I88" s="7">
        <v>97</v>
      </c>
      <c r="J88" s="7" t="s">
        <v>65</v>
      </c>
      <c r="K88" s="7">
        <v>792</v>
      </c>
      <c r="L88" s="7">
        <v>45</v>
      </c>
      <c r="M88" s="7" t="s">
        <v>59</v>
      </c>
      <c r="N88" s="10">
        <v>6.7089014940162159E-2</v>
      </c>
      <c r="O88" s="7">
        <v>0.35</v>
      </c>
      <c r="P88" s="7">
        <v>0.3</v>
      </c>
    </row>
    <row r="89" spans="1:16" x14ac:dyDescent="0.15">
      <c r="A89" s="7">
        <v>1085</v>
      </c>
      <c r="B89" s="19">
        <v>45471</v>
      </c>
      <c r="C89" s="7">
        <v>360</v>
      </c>
      <c r="D89" s="19">
        <v>45747</v>
      </c>
      <c r="E89" s="7">
        <v>9</v>
      </c>
      <c r="F89" s="30">
        <v>301053</v>
      </c>
      <c r="G89" s="30">
        <v>285785.17377740657</v>
      </c>
      <c r="H89" s="28">
        <v>354180</v>
      </c>
      <c r="I89" s="7">
        <v>85</v>
      </c>
      <c r="J89" s="7" t="s">
        <v>74</v>
      </c>
      <c r="K89" s="7">
        <v>720</v>
      </c>
      <c r="L89" s="7">
        <v>16</v>
      </c>
      <c r="M89" s="7" t="s">
        <v>59</v>
      </c>
      <c r="N89" s="10">
        <v>5.4314758194350207E-2</v>
      </c>
      <c r="O89" s="7">
        <v>0.12</v>
      </c>
      <c r="P89" s="7">
        <v>0.45</v>
      </c>
    </row>
    <row r="90" spans="1:16" x14ac:dyDescent="0.15">
      <c r="A90" s="7">
        <v>1086</v>
      </c>
      <c r="B90" s="19">
        <v>45424</v>
      </c>
      <c r="C90" s="7">
        <v>360</v>
      </c>
      <c r="D90" s="19">
        <v>45747</v>
      </c>
      <c r="E90" s="7">
        <v>10</v>
      </c>
      <c r="F90" s="30">
        <v>589873</v>
      </c>
      <c r="G90" s="30">
        <v>555110.29738568992</v>
      </c>
      <c r="H90" s="28">
        <v>737341.25</v>
      </c>
      <c r="I90" s="7">
        <v>80</v>
      </c>
      <c r="J90" s="7" t="s">
        <v>67</v>
      </c>
      <c r="K90" s="7">
        <v>782</v>
      </c>
      <c r="L90" s="7">
        <v>45</v>
      </c>
      <c r="M90" s="7" t="s">
        <v>59</v>
      </c>
      <c r="N90" s="10">
        <v>5.8403520826182477E-2</v>
      </c>
      <c r="O90" s="7">
        <v>0.12</v>
      </c>
      <c r="P90" s="7">
        <v>0.42</v>
      </c>
    </row>
    <row r="91" spans="1:16" x14ac:dyDescent="0.15">
      <c r="A91" s="7">
        <v>1087</v>
      </c>
      <c r="B91" s="19">
        <v>45459</v>
      </c>
      <c r="C91" s="7">
        <v>360</v>
      </c>
      <c r="D91" s="19">
        <v>45747</v>
      </c>
      <c r="E91" s="7">
        <v>9</v>
      </c>
      <c r="F91" s="30">
        <v>782992</v>
      </c>
      <c r="G91" s="30">
        <v>732127.80337868445</v>
      </c>
      <c r="H91" s="28">
        <v>889763.63636363635</v>
      </c>
      <c r="I91" s="7">
        <v>88</v>
      </c>
      <c r="J91" s="7" t="s">
        <v>73</v>
      </c>
      <c r="K91" s="7">
        <v>797</v>
      </c>
      <c r="L91" s="7">
        <v>27</v>
      </c>
      <c r="M91" s="7" t="s">
        <v>59</v>
      </c>
      <c r="N91" s="10">
        <v>7.8277499582221979E-2</v>
      </c>
      <c r="O91" s="7">
        <v>0.12</v>
      </c>
      <c r="P91" s="7">
        <v>0.43</v>
      </c>
    </row>
    <row r="92" spans="1:16" x14ac:dyDescent="0.15">
      <c r="A92" s="7">
        <v>1088</v>
      </c>
      <c r="B92" s="19">
        <v>45303</v>
      </c>
      <c r="C92" s="7">
        <v>360</v>
      </c>
      <c r="D92" s="19">
        <v>45747</v>
      </c>
      <c r="E92" s="7">
        <v>14</v>
      </c>
      <c r="F92" s="30">
        <v>464958</v>
      </c>
      <c r="G92" s="30">
        <v>418062.02334297379</v>
      </c>
      <c r="H92" s="28">
        <v>567021.95121951227</v>
      </c>
      <c r="I92" s="7">
        <v>82</v>
      </c>
      <c r="J92" s="7" t="s">
        <v>71</v>
      </c>
      <c r="K92" s="7">
        <v>643</v>
      </c>
      <c r="L92" s="7">
        <v>21</v>
      </c>
      <c r="M92" s="7" t="s">
        <v>59</v>
      </c>
      <c r="N92" s="10">
        <v>7.8081297325870047E-2</v>
      </c>
      <c r="O92" s="7">
        <v>0.12</v>
      </c>
      <c r="P92" s="7">
        <v>0.25</v>
      </c>
    </row>
    <row r="93" spans="1:16" x14ac:dyDescent="0.15">
      <c r="A93" s="7">
        <v>1089</v>
      </c>
      <c r="B93" s="19">
        <v>45422</v>
      </c>
      <c r="C93" s="7">
        <v>360</v>
      </c>
      <c r="D93" s="19">
        <v>45747</v>
      </c>
      <c r="E93" s="7">
        <v>10</v>
      </c>
      <c r="F93" s="30">
        <v>109816</v>
      </c>
      <c r="G93" s="30">
        <v>102897.76761847378</v>
      </c>
      <c r="H93" s="28">
        <v>137270</v>
      </c>
      <c r="I93" s="7">
        <v>80</v>
      </c>
      <c r="J93" s="7" t="s">
        <v>70</v>
      </c>
      <c r="K93" s="7">
        <v>735</v>
      </c>
      <c r="L93" s="7">
        <v>9</v>
      </c>
      <c r="M93" s="7" t="s">
        <v>59</v>
      </c>
      <c r="N93" s="10">
        <v>6.4682892559629723E-2</v>
      </c>
      <c r="O93" s="7">
        <v>0.12</v>
      </c>
      <c r="P93" s="7">
        <v>0.45</v>
      </c>
    </row>
    <row r="94" spans="1:16" x14ac:dyDescent="0.15">
      <c r="A94" s="7">
        <v>1090</v>
      </c>
      <c r="B94" s="19">
        <v>45380</v>
      </c>
      <c r="C94" s="7">
        <v>360</v>
      </c>
      <c r="D94" s="19">
        <v>45747</v>
      </c>
      <c r="E94" s="7">
        <v>12</v>
      </c>
      <c r="F94" s="30">
        <v>420762</v>
      </c>
      <c r="G94" s="30">
        <v>391337.74579665356</v>
      </c>
      <c r="H94" s="28">
        <v>442907.36842105264</v>
      </c>
      <c r="I94" s="7">
        <v>95</v>
      </c>
      <c r="J94" s="7" t="s">
        <v>65</v>
      </c>
      <c r="K94" s="7">
        <v>666</v>
      </c>
      <c r="L94" s="7">
        <v>17</v>
      </c>
      <c r="M94" s="7" t="s">
        <v>59</v>
      </c>
      <c r="N94" s="10">
        <v>5.7371575421640598E-2</v>
      </c>
      <c r="O94" s="7">
        <v>0.3</v>
      </c>
      <c r="P94" s="7">
        <v>0.24</v>
      </c>
    </row>
    <row r="95" spans="1:16" x14ac:dyDescent="0.15">
      <c r="A95" s="7">
        <v>1091</v>
      </c>
      <c r="B95" s="19">
        <v>45341</v>
      </c>
      <c r="C95" s="7">
        <v>360</v>
      </c>
      <c r="D95" s="19">
        <v>45747</v>
      </c>
      <c r="E95" s="7">
        <v>13</v>
      </c>
      <c r="F95" s="30">
        <v>222783</v>
      </c>
      <c r="G95" s="30">
        <v>203630.79650524969</v>
      </c>
      <c r="H95" s="28">
        <v>244816.48351648351</v>
      </c>
      <c r="I95" s="7">
        <v>91</v>
      </c>
      <c r="J95" s="7" t="s">
        <v>73</v>
      </c>
      <c r="K95" s="7">
        <v>666</v>
      </c>
      <c r="L95" s="7">
        <v>1</v>
      </c>
      <c r="M95" s="7" t="s">
        <v>59</v>
      </c>
      <c r="N95" s="10">
        <v>6.9402136578123524E-2</v>
      </c>
      <c r="O95" s="7">
        <v>0.25</v>
      </c>
      <c r="P95" s="7">
        <v>0.22</v>
      </c>
    </row>
    <row r="96" spans="1:16" x14ac:dyDescent="0.15">
      <c r="A96" s="7">
        <v>1092</v>
      </c>
      <c r="B96" s="19">
        <v>45446</v>
      </c>
      <c r="C96" s="7">
        <v>360</v>
      </c>
      <c r="D96" s="19">
        <v>45747</v>
      </c>
      <c r="E96" s="7">
        <v>9</v>
      </c>
      <c r="F96" s="30">
        <v>564986</v>
      </c>
      <c r="G96" s="30">
        <v>531966.59552682703</v>
      </c>
      <c r="H96" s="28">
        <v>594722.10526315798</v>
      </c>
      <c r="I96" s="7">
        <v>95</v>
      </c>
      <c r="J96" s="7" t="s">
        <v>65</v>
      </c>
      <c r="K96" s="7">
        <v>731</v>
      </c>
      <c r="L96" s="7">
        <v>29</v>
      </c>
      <c r="M96" s="7" t="s">
        <v>59</v>
      </c>
      <c r="N96" s="10">
        <v>6.7615380833894026E-2</v>
      </c>
      <c r="O96" s="7">
        <v>0.3</v>
      </c>
      <c r="P96" s="7">
        <v>0.21</v>
      </c>
    </row>
    <row r="97" spans="1:16" x14ac:dyDescent="0.15">
      <c r="A97" s="7">
        <v>1093</v>
      </c>
      <c r="B97" s="19">
        <v>45466</v>
      </c>
      <c r="C97" s="7">
        <v>360</v>
      </c>
      <c r="D97" s="19">
        <v>45747</v>
      </c>
      <c r="E97" s="7">
        <v>9</v>
      </c>
      <c r="F97" s="30">
        <v>320280</v>
      </c>
      <c r="G97" s="30">
        <v>302802.29690439894</v>
      </c>
      <c r="H97" s="28">
        <v>359865.16853932582</v>
      </c>
      <c r="I97" s="7">
        <v>89</v>
      </c>
      <c r="J97" s="7" t="s">
        <v>63</v>
      </c>
      <c r="K97" s="7">
        <v>777</v>
      </c>
      <c r="L97" s="7">
        <v>10</v>
      </c>
      <c r="M97" s="7" t="s">
        <v>59</v>
      </c>
      <c r="N97" s="10">
        <v>6.105253243549378E-2</v>
      </c>
      <c r="O97" s="7">
        <v>0.12</v>
      </c>
      <c r="P97" s="7">
        <v>0.42</v>
      </c>
    </row>
    <row r="98" spans="1:16" x14ac:dyDescent="0.15">
      <c r="A98" s="7">
        <v>1094</v>
      </c>
      <c r="B98" s="19">
        <v>45325</v>
      </c>
      <c r="C98" s="7">
        <v>360</v>
      </c>
      <c r="D98" s="19">
        <v>45747</v>
      </c>
      <c r="E98" s="7">
        <v>13</v>
      </c>
      <c r="F98" s="30">
        <v>330105</v>
      </c>
      <c r="G98" s="30">
        <v>300383.07312049589</v>
      </c>
      <c r="H98" s="28">
        <v>343859.375</v>
      </c>
      <c r="I98" s="7">
        <v>96</v>
      </c>
      <c r="J98" s="7" t="s">
        <v>66</v>
      </c>
      <c r="K98" s="7">
        <v>842</v>
      </c>
      <c r="L98" s="7">
        <v>18</v>
      </c>
      <c r="M98" s="7" t="s">
        <v>59</v>
      </c>
      <c r="N98" s="10">
        <v>7.4032047473658644E-2</v>
      </c>
      <c r="O98" s="7">
        <v>0.3</v>
      </c>
      <c r="P98" s="7">
        <v>0.35</v>
      </c>
    </row>
    <row r="99" spans="1:16" x14ac:dyDescent="0.15">
      <c r="A99" s="7">
        <v>1095</v>
      </c>
      <c r="B99" s="19">
        <v>45357</v>
      </c>
      <c r="C99" s="7">
        <v>360</v>
      </c>
      <c r="D99" s="19">
        <v>45747</v>
      </c>
      <c r="E99" s="7">
        <v>12</v>
      </c>
      <c r="F99" s="30">
        <v>500321</v>
      </c>
      <c r="G99" s="30">
        <v>460621.93218125042</v>
      </c>
      <c r="H99" s="28">
        <v>555912.22222222225</v>
      </c>
      <c r="I99" s="7">
        <v>90</v>
      </c>
      <c r="J99" s="7" t="s">
        <v>69</v>
      </c>
      <c r="K99" s="7">
        <v>823</v>
      </c>
      <c r="L99" s="7">
        <v>21</v>
      </c>
      <c r="M99" s="7" t="s">
        <v>59</v>
      </c>
      <c r="N99" s="10">
        <v>6.9392360325560745E-2</v>
      </c>
      <c r="O99" s="7">
        <v>0.25</v>
      </c>
      <c r="P99" s="7">
        <v>0.36</v>
      </c>
    </row>
    <row r="100" spans="1:16" x14ac:dyDescent="0.15">
      <c r="A100" s="7">
        <v>1096</v>
      </c>
      <c r="B100" s="19">
        <v>45461</v>
      </c>
      <c r="C100" s="7">
        <v>360</v>
      </c>
      <c r="D100" s="19">
        <v>45747</v>
      </c>
      <c r="E100" s="7">
        <v>9</v>
      </c>
      <c r="F100" s="30">
        <v>239360</v>
      </c>
      <c r="G100" s="30">
        <v>224893.66571717724</v>
      </c>
      <c r="H100" s="28">
        <v>257376.34408602151</v>
      </c>
      <c r="I100" s="7">
        <v>93</v>
      </c>
      <c r="J100" s="7" t="s">
        <v>60</v>
      </c>
      <c r="K100" s="7">
        <v>796</v>
      </c>
      <c r="L100" s="7">
        <v>2</v>
      </c>
      <c r="M100" s="7" t="s">
        <v>59</v>
      </c>
      <c r="N100" s="10">
        <v>7.0925315100458061E-2</v>
      </c>
      <c r="O100" s="7">
        <v>0.25</v>
      </c>
      <c r="P100" s="7">
        <v>0.39</v>
      </c>
    </row>
    <row r="101" spans="1:16" x14ac:dyDescent="0.15">
      <c r="A101" s="7">
        <v>1097</v>
      </c>
      <c r="B101" s="19">
        <v>45442</v>
      </c>
      <c r="C101" s="7">
        <v>360</v>
      </c>
      <c r="D101" s="19">
        <v>45747</v>
      </c>
      <c r="E101" s="7">
        <v>10</v>
      </c>
      <c r="F101" s="30">
        <v>595411</v>
      </c>
      <c r="G101" s="30">
        <v>557419.24270799628</v>
      </c>
      <c r="H101" s="28">
        <v>744263.75</v>
      </c>
      <c r="I101" s="7">
        <v>80</v>
      </c>
      <c r="J101" s="7" t="s">
        <v>68</v>
      </c>
      <c r="K101" s="7">
        <v>812</v>
      </c>
      <c r="L101" s="7">
        <v>37</v>
      </c>
      <c r="M101" s="7" t="s">
        <v>59</v>
      </c>
      <c r="N101" s="10">
        <v>6.591177112840936E-2</v>
      </c>
      <c r="O101" s="7">
        <v>0.12</v>
      </c>
      <c r="P101" s="7">
        <v>0.21</v>
      </c>
    </row>
    <row r="102" spans="1:16" x14ac:dyDescent="0.15">
      <c r="A102" s="7">
        <v>1098</v>
      </c>
      <c r="B102" s="19">
        <v>45367</v>
      </c>
      <c r="C102" s="7">
        <v>360</v>
      </c>
      <c r="D102" s="19">
        <v>45747</v>
      </c>
      <c r="E102" s="7">
        <v>12</v>
      </c>
      <c r="F102" s="30">
        <v>639856</v>
      </c>
      <c r="G102" s="30">
        <v>590718.55082579458</v>
      </c>
      <c r="H102" s="28">
        <v>752771.76470588241</v>
      </c>
      <c r="I102" s="7">
        <v>85</v>
      </c>
      <c r="J102" s="7" t="s">
        <v>67</v>
      </c>
      <c r="K102" s="7">
        <v>771</v>
      </c>
      <c r="L102" s="7">
        <v>5</v>
      </c>
      <c r="M102" s="7" t="s">
        <v>59</v>
      </c>
      <c r="N102" s="10">
        <v>6.6196087371546017E-2</v>
      </c>
      <c r="O102" s="7">
        <v>0.12</v>
      </c>
      <c r="P102" s="7">
        <v>0.37</v>
      </c>
    </row>
    <row r="103" spans="1:16" x14ac:dyDescent="0.15">
      <c r="A103" s="7">
        <v>1099</v>
      </c>
      <c r="B103" s="19">
        <v>45358</v>
      </c>
      <c r="C103" s="7">
        <v>360</v>
      </c>
      <c r="D103" s="19">
        <v>45747</v>
      </c>
      <c r="E103" s="7">
        <v>12</v>
      </c>
      <c r="F103" s="30">
        <v>254248</v>
      </c>
      <c r="G103" s="30">
        <v>232943.83174265933</v>
      </c>
      <c r="H103" s="28">
        <v>306322.89156626508</v>
      </c>
      <c r="I103" s="7">
        <v>83</v>
      </c>
      <c r="J103" s="7" t="s">
        <v>63</v>
      </c>
      <c r="K103" s="7">
        <v>659</v>
      </c>
      <c r="L103" s="7">
        <v>49</v>
      </c>
      <c r="M103" s="7" t="s">
        <v>59</v>
      </c>
      <c r="N103" s="10">
        <v>7.4862595931486461E-2</v>
      </c>
      <c r="O103" s="7">
        <v>0.12</v>
      </c>
      <c r="P103" s="7">
        <v>0.33</v>
      </c>
    </row>
    <row r="104" spans="1:16" x14ac:dyDescent="0.15">
      <c r="A104" s="7">
        <v>1100</v>
      </c>
      <c r="B104" s="19">
        <v>45366</v>
      </c>
      <c r="C104" s="7">
        <v>360</v>
      </c>
      <c r="D104" s="19">
        <v>45747</v>
      </c>
      <c r="E104" s="7">
        <v>12</v>
      </c>
      <c r="F104" s="30">
        <v>461436</v>
      </c>
      <c r="G104" s="30">
        <v>429456.6903961635</v>
      </c>
      <c r="H104" s="28">
        <v>555946.98795180721</v>
      </c>
      <c r="I104" s="7">
        <v>83</v>
      </c>
      <c r="J104" s="7" t="s">
        <v>70</v>
      </c>
      <c r="K104" s="7">
        <v>702</v>
      </c>
      <c r="L104" s="7">
        <v>41</v>
      </c>
      <c r="M104" s="7" t="s">
        <v>59</v>
      </c>
      <c r="N104" s="10">
        <v>5.6546917851553982E-2</v>
      </c>
      <c r="O104" s="7">
        <v>0.12</v>
      </c>
      <c r="P104" s="7">
        <v>0.36</v>
      </c>
    </row>
    <row r="105" spans="1:16" x14ac:dyDescent="0.15">
      <c r="A105" s="7">
        <v>1101</v>
      </c>
      <c r="B105" s="19">
        <v>45441</v>
      </c>
      <c r="C105" s="7">
        <v>360</v>
      </c>
      <c r="D105" s="19">
        <v>45747</v>
      </c>
      <c r="E105" s="7">
        <v>10</v>
      </c>
      <c r="F105" s="30">
        <v>421864</v>
      </c>
      <c r="G105" s="30">
        <v>398306.78601871978</v>
      </c>
      <c r="H105" s="28">
        <v>484901.14942528738</v>
      </c>
      <c r="I105" s="7">
        <v>87</v>
      </c>
      <c r="J105" s="7" t="s">
        <v>66</v>
      </c>
      <c r="K105" s="7">
        <v>675</v>
      </c>
      <c r="L105" s="7">
        <v>26</v>
      </c>
      <c r="M105" s="7" t="s">
        <v>59</v>
      </c>
      <c r="N105" s="10">
        <v>5.3499050062578067E-2</v>
      </c>
      <c r="O105" s="7">
        <v>0.12</v>
      </c>
      <c r="P105" s="7">
        <v>0.28000000000000003</v>
      </c>
    </row>
    <row r="106" spans="1:16" x14ac:dyDescent="0.15">
      <c r="A106" s="7">
        <v>1102</v>
      </c>
      <c r="B106" s="19">
        <v>45334</v>
      </c>
      <c r="C106" s="7">
        <v>360</v>
      </c>
      <c r="D106" s="19">
        <v>45747</v>
      </c>
      <c r="E106" s="7">
        <v>13</v>
      </c>
      <c r="F106" s="30">
        <v>505629</v>
      </c>
      <c r="G106" s="30">
        <v>460581.33704553003</v>
      </c>
      <c r="H106" s="28">
        <v>616620.73170731706</v>
      </c>
      <c r="I106" s="7">
        <v>82</v>
      </c>
      <c r="J106" s="7" t="s">
        <v>61</v>
      </c>
      <c r="K106" s="7">
        <v>728</v>
      </c>
      <c r="L106" s="7">
        <v>37</v>
      </c>
      <c r="M106" s="7" t="s">
        <v>59</v>
      </c>
      <c r="N106" s="10">
        <v>7.2963893808609917E-2</v>
      </c>
      <c r="O106" s="7">
        <v>0.12</v>
      </c>
      <c r="P106" s="7">
        <v>0.34</v>
      </c>
    </row>
    <row r="107" spans="1:16" x14ac:dyDescent="0.15">
      <c r="A107" s="7">
        <v>1103</v>
      </c>
      <c r="B107" s="19">
        <v>45332</v>
      </c>
      <c r="C107" s="7">
        <v>360</v>
      </c>
      <c r="D107" s="19">
        <v>45747</v>
      </c>
      <c r="E107" s="7">
        <v>13</v>
      </c>
      <c r="F107" s="30">
        <v>745649</v>
      </c>
      <c r="G107" s="30">
        <v>682555.09185680468</v>
      </c>
      <c r="H107" s="28">
        <v>898372.28915662656</v>
      </c>
      <c r="I107" s="7">
        <v>83</v>
      </c>
      <c r="J107" s="7" t="s">
        <v>66</v>
      </c>
      <c r="K107" s="7">
        <v>677</v>
      </c>
      <c r="L107" s="7">
        <v>39</v>
      </c>
      <c r="M107" s="7" t="s">
        <v>59</v>
      </c>
      <c r="N107" s="10">
        <v>6.7845001170147551E-2</v>
      </c>
      <c r="O107" s="7">
        <v>0.12</v>
      </c>
      <c r="P107" s="7">
        <v>0.43</v>
      </c>
    </row>
    <row r="108" spans="1:16" x14ac:dyDescent="0.15">
      <c r="A108" s="7">
        <v>1104</v>
      </c>
      <c r="B108" s="19">
        <v>45348</v>
      </c>
      <c r="C108" s="7">
        <v>360</v>
      </c>
      <c r="D108" s="19">
        <v>45747</v>
      </c>
      <c r="E108" s="7">
        <v>13</v>
      </c>
      <c r="F108" s="30">
        <v>714971</v>
      </c>
      <c r="G108" s="30">
        <v>661187.22953281482</v>
      </c>
      <c r="H108" s="28">
        <v>803338.20224719099</v>
      </c>
      <c r="I108" s="7">
        <v>89</v>
      </c>
      <c r="J108" s="7" t="s">
        <v>60</v>
      </c>
      <c r="K108" s="7">
        <v>622</v>
      </c>
      <c r="L108" s="7">
        <v>40</v>
      </c>
      <c r="M108" s="7" t="s">
        <v>59</v>
      </c>
      <c r="N108" s="10">
        <v>5.6724330705476778E-2</v>
      </c>
      <c r="O108" s="7">
        <v>0.12</v>
      </c>
      <c r="P108" s="7">
        <v>0.37</v>
      </c>
    </row>
    <row r="109" spans="1:16" x14ac:dyDescent="0.15">
      <c r="A109" s="7">
        <v>1105</v>
      </c>
      <c r="B109" s="19">
        <v>45294</v>
      </c>
      <c r="C109" s="7">
        <v>360</v>
      </c>
      <c r="D109" s="19">
        <v>45747</v>
      </c>
      <c r="E109" s="7">
        <v>14</v>
      </c>
      <c r="F109" s="30">
        <v>197477</v>
      </c>
      <c r="G109" s="30">
        <v>179673.1681609989</v>
      </c>
      <c r="H109" s="28">
        <v>240825.60975609758</v>
      </c>
      <c r="I109" s="7">
        <v>82</v>
      </c>
      <c r="J109" s="7" t="s">
        <v>67</v>
      </c>
      <c r="K109" s="7">
        <v>640</v>
      </c>
      <c r="L109" s="7">
        <v>22</v>
      </c>
      <c r="M109" s="7" t="s">
        <v>59</v>
      </c>
      <c r="N109" s="10">
        <v>6.6803468532930579E-2</v>
      </c>
      <c r="O109" s="7">
        <v>0.12</v>
      </c>
      <c r="P109" s="7">
        <v>0.28000000000000003</v>
      </c>
    </row>
    <row r="110" spans="1:16" x14ac:dyDescent="0.15">
      <c r="A110" s="7">
        <v>1106</v>
      </c>
      <c r="B110" s="19">
        <v>45445</v>
      </c>
      <c r="C110" s="7">
        <v>360</v>
      </c>
      <c r="D110" s="19">
        <v>45747</v>
      </c>
      <c r="E110" s="7">
        <v>9</v>
      </c>
      <c r="F110" s="30">
        <v>443212</v>
      </c>
      <c r="G110" s="30">
        <v>418640.08727796341</v>
      </c>
      <c r="H110" s="28">
        <v>533990.36144578317</v>
      </c>
      <c r="I110" s="7">
        <v>83</v>
      </c>
      <c r="J110" s="7" t="s">
        <v>62</v>
      </c>
      <c r="K110" s="7">
        <v>600</v>
      </c>
      <c r="L110" s="7">
        <v>38</v>
      </c>
      <c r="M110" s="7" t="s">
        <v>59</v>
      </c>
      <c r="N110" s="10">
        <v>6.2544400522654697E-2</v>
      </c>
      <c r="O110" s="7">
        <v>0.12</v>
      </c>
      <c r="P110" s="7">
        <v>0.27</v>
      </c>
    </row>
    <row r="111" spans="1:16" x14ac:dyDescent="0.15">
      <c r="A111" s="7">
        <v>1107</v>
      </c>
      <c r="B111" s="19">
        <v>45299</v>
      </c>
      <c r="C111" s="7">
        <v>360</v>
      </c>
      <c r="D111" s="19">
        <v>45747</v>
      </c>
      <c r="E111" s="7">
        <v>14</v>
      </c>
      <c r="F111" s="30">
        <v>493671</v>
      </c>
      <c r="G111" s="30">
        <v>456283.56600424577</v>
      </c>
      <c r="H111" s="28">
        <v>609470.37037037034</v>
      </c>
      <c r="I111" s="7">
        <v>81</v>
      </c>
      <c r="J111" s="7" t="s">
        <v>69</v>
      </c>
      <c r="K111" s="7">
        <v>808</v>
      </c>
      <c r="L111" s="7">
        <v>45</v>
      </c>
      <c r="M111" s="7" t="s">
        <v>59</v>
      </c>
      <c r="N111" s="10">
        <v>5.0674852476272098E-2</v>
      </c>
      <c r="O111" s="7">
        <v>0.12</v>
      </c>
      <c r="P111" s="7">
        <v>0.28000000000000003</v>
      </c>
    </row>
    <row r="112" spans="1:16" x14ac:dyDescent="0.15">
      <c r="A112" s="7">
        <v>1108</v>
      </c>
      <c r="B112" s="19">
        <v>45354</v>
      </c>
      <c r="C112" s="7">
        <v>360</v>
      </c>
      <c r="D112" s="19">
        <v>45747</v>
      </c>
      <c r="E112" s="7">
        <v>12</v>
      </c>
      <c r="F112" s="30">
        <v>384367</v>
      </c>
      <c r="G112" s="30">
        <v>353201.37393371202</v>
      </c>
      <c r="H112" s="28">
        <v>457579.76190476189</v>
      </c>
      <c r="I112" s="7">
        <v>84</v>
      </c>
      <c r="J112" s="7" t="s">
        <v>65</v>
      </c>
      <c r="K112" s="7">
        <v>626</v>
      </c>
      <c r="L112" s="7">
        <v>32</v>
      </c>
      <c r="M112" s="7" t="s">
        <v>59</v>
      </c>
      <c r="N112" s="10">
        <v>7.1542155444981395E-2</v>
      </c>
      <c r="O112" s="7">
        <v>0.12</v>
      </c>
      <c r="P112" s="7">
        <v>0.36</v>
      </c>
    </row>
    <row r="113" spans="1:16" x14ac:dyDescent="0.15">
      <c r="A113" s="7">
        <v>1109</v>
      </c>
      <c r="B113" s="19">
        <v>45445</v>
      </c>
      <c r="C113" s="7">
        <v>360</v>
      </c>
      <c r="D113" s="19">
        <v>45747</v>
      </c>
      <c r="E113" s="7">
        <v>9</v>
      </c>
      <c r="F113" s="30">
        <v>495085</v>
      </c>
      <c r="G113" s="30">
        <v>470411.66852044989</v>
      </c>
      <c r="H113" s="28">
        <v>538135.86956521741</v>
      </c>
      <c r="I113" s="7">
        <v>92</v>
      </c>
      <c r="J113" s="7" t="s">
        <v>71</v>
      </c>
      <c r="K113" s="7">
        <v>810</v>
      </c>
      <c r="L113" s="7">
        <v>27</v>
      </c>
      <c r="M113" s="7" t="s">
        <v>59</v>
      </c>
      <c r="N113" s="10">
        <v>5.2747799225008052E-2</v>
      </c>
      <c r="O113" s="7">
        <v>0.25</v>
      </c>
      <c r="P113" s="7">
        <v>0.31</v>
      </c>
    </row>
    <row r="114" spans="1:16" x14ac:dyDescent="0.15">
      <c r="A114" s="7">
        <v>1110</v>
      </c>
      <c r="B114" s="19">
        <v>45319</v>
      </c>
      <c r="C114" s="7">
        <v>360</v>
      </c>
      <c r="D114" s="19">
        <v>45747</v>
      </c>
      <c r="E114" s="7">
        <v>14</v>
      </c>
      <c r="F114" s="30">
        <v>448585</v>
      </c>
      <c r="G114" s="30">
        <v>403823.86072580435</v>
      </c>
      <c r="H114" s="28">
        <v>521610.46511627908</v>
      </c>
      <c r="I114" s="7">
        <v>86</v>
      </c>
      <c r="J114" s="7" t="s">
        <v>67</v>
      </c>
      <c r="K114" s="7">
        <v>674</v>
      </c>
      <c r="L114" s="7">
        <v>8</v>
      </c>
      <c r="M114" s="7" t="s">
        <v>59</v>
      </c>
      <c r="N114" s="10">
        <v>7.6967416924350274E-2</v>
      </c>
      <c r="O114" s="7">
        <v>0.12</v>
      </c>
      <c r="P114" s="7">
        <v>0.33</v>
      </c>
    </row>
    <row r="115" spans="1:16" x14ac:dyDescent="0.15">
      <c r="A115" s="7">
        <v>1111</v>
      </c>
      <c r="B115" s="19">
        <v>45354</v>
      </c>
      <c r="C115" s="7">
        <v>360</v>
      </c>
      <c r="D115" s="19">
        <v>45747</v>
      </c>
      <c r="E115" s="7">
        <v>12</v>
      </c>
      <c r="F115" s="30">
        <v>785538</v>
      </c>
      <c r="G115" s="30">
        <v>723721.619577882</v>
      </c>
      <c r="H115" s="28">
        <v>818268.75</v>
      </c>
      <c r="I115" s="7">
        <v>96</v>
      </c>
      <c r="J115" s="7" t="s">
        <v>69</v>
      </c>
      <c r="K115" s="7">
        <v>674</v>
      </c>
      <c r="L115" s="7">
        <v>40</v>
      </c>
      <c r="M115" s="7" t="s">
        <v>59</v>
      </c>
      <c r="N115" s="10">
        <v>6.8577320882272655E-2</v>
      </c>
      <c r="O115" s="7">
        <v>0.3</v>
      </c>
      <c r="P115" s="7">
        <v>0.24</v>
      </c>
    </row>
    <row r="116" spans="1:16" x14ac:dyDescent="0.15">
      <c r="A116" s="7">
        <v>1112</v>
      </c>
      <c r="B116" s="19">
        <v>45452</v>
      </c>
      <c r="C116" s="7">
        <v>360</v>
      </c>
      <c r="D116" s="19">
        <v>45747</v>
      </c>
      <c r="E116" s="7">
        <v>9</v>
      </c>
      <c r="F116" s="30">
        <v>615434</v>
      </c>
      <c r="G116" s="30">
        <v>584453.83213099418</v>
      </c>
      <c r="H116" s="28">
        <v>707395.40229885059</v>
      </c>
      <c r="I116" s="7">
        <v>87</v>
      </c>
      <c r="J116" s="7" t="s">
        <v>66</v>
      </c>
      <c r="K116" s="7">
        <v>742</v>
      </c>
      <c r="L116" s="7">
        <v>0</v>
      </c>
      <c r="M116" s="7" t="s">
        <v>59</v>
      </c>
      <c r="N116" s="10">
        <v>5.3645390225216562E-2</v>
      </c>
      <c r="O116" s="7">
        <v>0.12</v>
      </c>
      <c r="P116" s="7">
        <v>0.35</v>
      </c>
    </row>
    <row r="117" spans="1:16" x14ac:dyDescent="0.15">
      <c r="A117" s="7">
        <v>1113</v>
      </c>
      <c r="B117" s="19">
        <v>45301</v>
      </c>
      <c r="C117" s="7">
        <v>360</v>
      </c>
      <c r="D117" s="19">
        <v>45747</v>
      </c>
      <c r="E117" s="7">
        <v>14</v>
      </c>
      <c r="F117" s="30">
        <v>692596</v>
      </c>
      <c r="G117" s="30">
        <v>630990.78632373165</v>
      </c>
      <c r="H117" s="28">
        <v>778197.75280898879</v>
      </c>
      <c r="I117" s="7">
        <v>89</v>
      </c>
      <c r="J117" s="7" t="s">
        <v>70</v>
      </c>
      <c r="K117" s="7">
        <v>704</v>
      </c>
      <c r="L117" s="7">
        <v>16</v>
      </c>
      <c r="M117" s="7" t="s">
        <v>59</v>
      </c>
      <c r="N117" s="10">
        <v>6.5497709870905516E-2</v>
      </c>
      <c r="O117" s="7">
        <v>0.12</v>
      </c>
      <c r="P117" s="7">
        <v>0.2</v>
      </c>
    </row>
    <row r="118" spans="1:16" x14ac:dyDescent="0.15">
      <c r="A118" s="7">
        <v>1114</v>
      </c>
      <c r="B118" s="19">
        <v>45435</v>
      </c>
      <c r="C118" s="7">
        <v>360</v>
      </c>
      <c r="D118" s="19">
        <v>45747</v>
      </c>
      <c r="E118" s="7">
        <v>10</v>
      </c>
      <c r="F118" s="30">
        <v>368026</v>
      </c>
      <c r="G118" s="30">
        <v>346306.05031562044</v>
      </c>
      <c r="H118" s="28">
        <v>438126.19047619047</v>
      </c>
      <c r="I118" s="7">
        <v>84</v>
      </c>
      <c r="J118" s="7" t="s">
        <v>69</v>
      </c>
      <c r="K118" s="7">
        <v>613</v>
      </c>
      <c r="L118" s="7">
        <v>39</v>
      </c>
      <c r="M118" s="7" t="s">
        <v>59</v>
      </c>
      <c r="N118" s="10">
        <v>5.8536558772970523E-2</v>
      </c>
      <c r="O118" s="7">
        <v>0.12</v>
      </c>
      <c r="P118" s="7">
        <v>0.27</v>
      </c>
    </row>
    <row r="119" spans="1:16" x14ac:dyDescent="0.15">
      <c r="A119" s="7">
        <v>1115</v>
      </c>
      <c r="B119" s="19">
        <v>45423</v>
      </c>
      <c r="C119" s="7">
        <v>360</v>
      </c>
      <c r="D119" s="19">
        <v>45747</v>
      </c>
      <c r="E119" s="7">
        <v>10</v>
      </c>
      <c r="F119" s="30">
        <v>152626</v>
      </c>
      <c r="G119" s="30">
        <v>142981.09952035174</v>
      </c>
      <c r="H119" s="28">
        <v>164113.97849462365</v>
      </c>
      <c r="I119" s="7">
        <v>93</v>
      </c>
      <c r="J119" s="7" t="s">
        <v>73</v>
      </c>
      <c r="K119" s="7">
        <v>806</v>
      </c>
      <c r="L119" s="7">
        <v>18</v>
      </c>
      <c r="M119" s="7" t="s">
        <v>59</v>
      </c>
      <c r="N119" s="10">
        <v>6.4979068093198852E-2</v>
      </c>
      <c r="O119" s="7">
        <v>0.25</v>
      </c>
      <c r="P119" s="7">
        <v>0.23</v>
      </c>
    </row>
    <row r="120" spans="1:16" x14ac:dyDescent="0.15">
      <c r="A120" s="7">
        <v>1116</v>
      </c>
      <c r="B120" s="19">
        <v>45308</v>
      </c>
      <c r="C120" s="7">
        <v>360</v>
      </c>
      <c r="D120" s="19">
        <v>45747</v>
      </c>
      <c r="E120" s="7">
        <v>14</v>
      </c>
      <c r="F120" s="30">
        <v>785787</v>
      </c>
      <c r="G120" s="30">
        <v>709359.73407037649</v>
      </c>
      <c r="H120" s="28">
        <v>810089.69072164956</v>
      </c>
      <c r="I120" s="7">
        <v>97</v>
      </c>
      <c r="J120" s="7" t="s">
        <v>71</v>
      </c>
      <c r="K120" s="7">
        <v>761</v>
      </c>
      <c r="L120" s="7">
        <v>21</v>
      </c>
      <c r="M120" s="7" t="s">
        <v>59</v>
      </c>
      <c r="N120" s="10">
        <v>7.4344145239879936E-2</v>
      </c>
      <c r="O120" s="7">
        <v>0.35</v>
      </c>
      <c r="P120" s="7">
        <v>0.26</v>
      </c>
    </row>
    <row r="121" spans="1:16" x14ac:dyDescent="0.15">
      <c r="A121" s="7">
        <v>1117</v>
      </c>
      <c r="B121" s="19">
        <v>45452</v>
      </c>
      <c r="C121" s="7">
        <v>360</v>
      </c>
      <c r="D121" s="19">
        <v>45747</v>
      </c>
      <c r="E121" s="7">
        <v>9</v>
      </c>
      <c r="F121" s="30">
        <v>554459</v>
      </c>
      <c r="G121" s="30">
        <v>522657.0021849508</v>
      </c>
      <c r="H121" s="28">
        <v>693073.75</v>
      </c>
      <c r="I121" s="7">
        <v>80</v>
      </c>
      <c r="J121" s="7" t="s">
        <v>62</v>
      </c>
      <c r="K121" s="7">
        <v>762</v>
      </c>
      <c r="L121" s="7">
        <v>27</v>
      </c>
      <c r="M121" s="7" t="s">
        <v>59</v>
      </c>
      <c r="N121" s="10">
        <v>6.5793859164379936E-2</v>
      </c>
      <c r="O121" s="7">
        <v>0.12</v>
      </c>
      <c r="P121" s="7">
        <v>0.41</v>
      </c>
    </row>
    <row r="122" spans="1:16" x14ac:dyDescent="0.15">
      <c r="A122" s="7">
        <v>1118</v>
      </c>
      <c r="B122" s="19">
        <v>45340</v>
      </c>
      <c r="C122" s="7">
        <v>360</v>
      </c>
      <c r="D122" s="19">
        <v>45747</v>
      </c>
      <c r="E122" s="7">
        <v>13</v>
      </c>
      <c r="F122" s="30">
        <v>579518</v>
      </c>
      <c r="G122" s="30">
        <v>524873.03434544848</v>
      </c>
      <c r="H122" s="28">
        <v>636832.96703296702</v>
      </c>
      <c r="I122" s="7">
        <v>91</v>
      </c>
      <c r="J122" s="7" t="s">
        <v>67</v>
      </c>
      <c r="K122" s="7">
        <v>751</v>
      </c>
      <c r="L122" s="7">
        <v>34</v>
      </c>
      <c r="M122" s="7" t="s">
        <v>59</v>
      </c>
      <c r="N122" s="10">
        <v>7.8788562436366852E-2</v>
      </c>
      <c r="O122" s="7">
        <v>0.25</v>
      </c>
      <c r="P122" s="7">
        <v>0.27</v>
      </c>
    </row>
    <row r="123" spans="1:16" x14ac:dyDescent="0.15">
      <c r="A123" s="7">
        <v>1119</v>
      </c>
      <c r="B123" s="19">
        <v>45442</v>
      </c>
      <c r="C123" s="7">
        <v>360</v>
      </c>
      <c r="D123" s="19">
        <v>45747</v>
      </c>
      <c r="E123" s="7">
        <v>10</v>
      </c>
      <c r="F123" s="30">
        <v>516603</v>
      </c>
      <c r="G123" s="30">
        <v>481425.82054653496</v>
      </c>
      <c r="H123" s="28">
        <v>580452.80898876407</v>
      </c>
      <c r="I123" s="7">
        <v>89</v>
      </c>
      <c r="J123" s="7" t="s">
        <v>64</v>
      </c>
      <c r="K123" s="7">
        <v>675</v>
      </c>
      <c r="L123" s="7">
        <v>32</v>
      </c>
      <c r="M123" s="7" t="s">
        <v>59</v>
      </c>
      <c r="N123" s="10">
        <v>7.231656654357238E-2</v>
      </c>
      <c r="O123" s="7">
        <v>0.12</v>
      </c>
      <c r="P123" s="7">
        <v>0.23</v>
      </c>
    </row>
    <row r="124" spans="1:16" x14ac:dyDescent="0.15">
      <c r="A124" s="7">
        <v>1120</v>
      </c>
      <c r="B124" s="19">
        <v>45324</v>
      </c>
      <c r="C124" s="7">
        <v>360</v>
      </c>
      <c r="D124" s="19">
        <v>45747</v>
      </c>
      <c r="E124" s="7">
        <v>13</v>
      </c>
      <c r="F124" s="30">
        <v>282660</v>
      </c>
      <c r="G124" s="30">
        <v>260264.23204992805</v>
      </c>
      <c r="H124" s="28">
        <v>353325</v>
      </c>
      <c r="I124" s="7">
        <v>80</v>
      </c>
      <c r="J124" s="7" t="s">
        <v>67</v>
      </c>
      <c r="K124" s="7">
        <v>662</v>
      </c>
      <c r="L124" s="7">
        <v>48</v>
      </c>
      <c r="M124" s="7" t="s">
        <v>59</v>
      </c>
      <c r="N124" s="10">
        <v>6.1538634036370998E-2</v>
      </c>
      <c r="O124" s="7">
        <v>0.12</v>
      </c>
      <c r="P124" s="7">
        <v>0.28000000000000003</v>
      </c>
    </row>
    <row r="125" spans="1:16" x14ac:dyDescent="0.15">
      <c r="A125" s="7">
        <v>1121</v>
      </c>
      <c r="B125" s="19">
        <v>45473</v>
      </c>
      <c r="C125" s="7">
        <v>360</v>
      </c>
      <c r="D125" s="19">
        <v>45747</v>
      </c>
      <c r="E125" s="7">
        <v>9</v>
      </c>
      <c r="F125" s="30">
        <v>394588</v>
      </c>
      <c r="G125" s="30">
        <v>374706.39172890806</v>
      </c>
      <c r="H125" s="28">
        <v>419774.4680851064</v>
      </c>
      <c r="I125" s="7">
        <v>94</v>
      </c>
      <c r="J125" s="7" t="s">
        <v>62</v>
      </c>
      <c r="K125" s="7">
        <v>829</v>
      </c>
      <c r="L125" s="7">
        <v>18</v>
      </c>
      <c r="M125" s="7" t="s">
        <v>59</v>
      </c>
      <c r="N125" s="10">
        <v>5.372919650610096E-2</v>
      </c>
      <c r="O125" s="7">
        <v>0.25</v>
      </c>
      <c r="P125" s="7">
        <v>0.31</v>
      </c>
    </row>
    <row r="126" spans="1:16" x14ac:dyDescent="0.15">
      <c r="A126" s="7">
        <v>1122</v>
      </c>
      <c r="B126" s="19">
        <v>45438</v>
      </c>
      <c r="C126" s="7">
        <v>360</v>
      </c>
      <c r="D126" s="19">
        <v>45747</v>
      </c>
      <c r="E126" s="7">
        <v>10</v>
      </c>
      <c r="F126" s="30">
        <v>694256</v>
      </c>
      <c r="G126" s="30">
        <v>645433.60188631027</v>
      </c>
      <c r="H126" s="28">
        <v>857106.17283950606</v>
      </c>
      <c r="I126" s="7">
        <v>81</v>
      </c>
      <c r="J126" s="7" t="s">
        <v>72</v>
      </c>
      <c r="K126" s="7">
        <v>813</v>
      </c>
      <c r="L126" s="7">
        <v>12</v>
      </c>
      <c r="M126" s="7" t="s">
        <v>59</v>
      </c>
      <c r="N126" s="10">
        <v>7.5586267348096273E-2</v>
      </c>
      <c r="O126" s="7">
        <v>0.12</v>
      </c>
      <c r="P126" s="7">
        <v>0.25</v>
      </c>
    </row>
    <row r="127" spans="1:16" x14ac:dyDescent="0.15">
      <c r="A127" s="7">
        <v>1123</v>
      </c>
      <c r="B127" s="19">
        <v>45396</v>
      </c>
      <c r="C127" s="7">
        <v>360</v>
      </c>
      <c r="D127" s="19">
        <v>45747</v>
      </c>
      <c r="E127" s="7">
        <v>11</v>
      </c>
      <c r="F127" s="30">
        <v>557600</v>
      </c>
      <c r="G127" s="30">
        <v>515476.03681541875</v>
      </c>
      <c r="H127" s="28">
        <v>680000</v>
      </c>
      <c r="I127" s="7">
        <v>82</v>
      </c>
      <c r="J127" s="7" t="s">
        <v>66</v>
      </c>
      <c r="K127" s="7">
        <v>751</v>
      </c>
      <c r="L127" s="7">
        <v>35</v>
      </c>
      <c r="M127" s="7" t="s">
        <v>59</v>
      </c>
      <c r="N127" s="10">
        <v>7.3176953680206103E-2</v>
      </c>
      <c r="O127" s="7">
        <v>0.12</v>
      </c>
      <c r="P127" s="7">
        <v>0.38</v>
      </c>
    </row>
    <row r="128" spans="1:16" x14ac:dyDescent="0.15">
      <c r="A128" s="7">
        <v>1124</v>
      </c>
      <c r="B128" s="19">
        <v>45418</v>
      </c>
      <c r="C128" s="7">
        <v>360</v>
      </c>
      <c r="D128" s="19">
        <v>45747</v>
      </c>
      <c r="E128" s="7">
        <v>10</v>
      </c>
      <c r="F128" s="30">
        <v>186909</v>
      </c>
      <c r="G128" s="30">
        <v>174775.64527700172</v>
      </c>
      <c r="H128" s="28">
        <v>212396.59090909091</v>
      </c>
      <c r="I128" s="7">
        <v>88</v>
      </c>
      <c r="J128" s="7" t="s">
        <v>61</v>
      </c>
      <c r="K128" s="7">
        <v>712</v>
      </c>
      <c r="L128" s="7">
        <v>34</v>
      </c>
      <c r="M128" s="7" t="s">
        <v>59</v>
      </c>
      <c r="N128" s="10">
        <v>6.7584276329272761E-2</v>
      </c>
      <c r="O128" s="7">
        <v>0.12</v>
      </c>
      <c r="P128" s="7">
        <v>0.2</v>
      </c>
    </row>
    <row r="129" spans="1:16" x14ac:dyDescent="0.15">
      <c r="A129" s="7">
        <v>1125</v>
      </c>
      <c r="B129" s="19">
        <v>45424</v>
      </c>
      <c r="C129" s="7">
        <v>360</v>
      </c>
      <c r="D129" s="19">
        <v>45747</v>
      </c>
      <c r="E129" s="7">
        <v>10</v>
      </c>
      <c r="F129" s="30">
        <v>565844</v>
      </c>
      <c r="G129" s="30">
        <v>530358.81212945958</v>
      </c>
      <c r="H129" s="28">
        <v>681739.75903614459</v>
      </c>
      <c r="I129" s="7">
        <v>83</v>
      </c>
      <c r="J129" s="7" t="s">
        <v>66</v>
      </c>
      <c r="K129" s="7">
        <v>794</v>
      </c>
      <c r="L129" s="7">
        <v>12</v>
      </c>
      <c r="M129" s="7" t="s">
        <v>59</v>
      </c>
      <c r="N129" s="10">
        <v>6.4246322726975655E-2</v>
      </c>
      <c r="O129" s="7">
        <v>0.12</v>
      </c>
      <c r="P129" s="7">
        <v>0.38</v>
      </c>
    </row>
    <row r="130" spans="1:16" x14ac:dyDescent="0.15">
      <c r="A130" s="7">
        <v>1126</v>
      </c>
      <c r="B130" s="19">
        <v>45408</v>
      </c>
      <c r="C130" s="7">
        <v>360</v>
      </c>
      <c r="D130" s="19">
        <v>45747</v>
      </c>
      <c r="E130" s="7">
        <v>11</v>
      </c>
      <c r="F130" s="30">
        <v>592122</v>
      </c>
      <c r="G130" s="30">
        <v>546417.1395003699</v>
      </c>
      <c r="H130" s="28">
        <v>680600</v>
      </c>
      <c r="I130" s="7">
        <v>87</v>
      </c>
      <c r="J130" s="7" t="s">
        <v>72</v>
      </c>
      <c r="K130" s="7">
        <v>850</v>
      </c>
      <c r="L130" s="7">
        <v>34</v>
      </c>
      <c r="M130" s="7" t="s">
        <v>59</v>
      </c>
      <c r="N130" s="10">
        <v>7.5364388205929875E-2</v>
      </c>
      <c r="O130" s="7">
        <v>0.12</v>
      </c>
      <c r="P130" s="7">
        <v>0.38</v>
      </c>
    </row>
    <row r="131" spans="1:16" x14ac:dyDescent="0.15">
      <c r="A131" s="7">
        <v>1127</v>
      </c>
      <c r="B131" s="19">
        <v>45408</v>
      </c>
      <c r="C131" s="7">
        <v>360</v>
      </c>
      <c r="D131" s="19">
        <v>45747</v>
      </c>
      <c r="E131" s="7">
        <v>11</v>
      </c>
      <c r="F131" s="30">
        <v>127247</v>
      </c>
      <c r="G131" s="30">
        <v>119647.63043078735</v>
      </c>
      <c r="H131" s="28">
        <v>157095.06172839506</v>
      </c>
      <c r="I131" s="7">
        <v>81</v>
      </c>
      <c r="J131" s="7" t="s">
        <v>64</v>
      </c>
      <c r="K131" s="7">
        <v>686</v>
      </c>
      <c r="L131" s="7">
        <v>36</v>
      </c>
      <c r="M131" s="7" t="s">
        <v>59</v>
      </c>
      <c r="N131" s="10">
        <v>5.0995457226659512E-2</v>
      </c>
      <c r="O131" s="7">
        <v>0.12</v>
      </c>
      <c r="P131" s="7">
        <v>0.38</v>
      </c>
    </row>
    <row r="132" spans="1:16" x14ac:dyDescent="0.15">
      <c r="A132" s="7">
        <v>1128</v>
      </c>
      <c r="B132" s="19">
        <v>45319</v>
      </c>
      <c r="C132" s="7">
        <v>360</v>
      </c>
      <c r="D132" s="19">
        <v>45747</v>
      </c>
      <c r="E132" s="7">
        <v>14</v>
      </c>
      <c r="F132" s="30">
        <v>243951</v>
      </c>
      <c r="G132" s="30">
        <v>222615.66265260661</v>
      </c>
      <c r="H132" s="28">
        <v>290417.85714285716</v>
      </c>
      <c r="I132" s="7">
        <v>84</v>
      </c>
      <c r="J132" s="7" t="s">
        <v>73</v>
      </c>
      <c r="K132" s="7">
        <v>783</v>
      </c>
      <c r="L132" s="7">
        <v>20</v>
      </c>
      <c r="M132" s="7" t="s">
        <v>59</v>
      </c>
      <c r="N132" s="10">
        <v>6.3876304924961408E-2</v>
      </c>
      <c r="O132" s="7">
        <v>0.12</v>
      </c>
      <c r="P132" s="7">
        <v>0.23</v>
      </c>
    </row>
    <row r="133" spans="1:16" x14ac:dyDescent="0.15">
      <c r="A133" s="7">
        <v>1129</v>
      </c>
      <c r="B133" s="19">
        <v>45292</v>
      </c>
      <c r="C133" s="7">
        <v>360</v>
      </c>
      <c r="D133" s="19">
        <v>45747</v>
      </c>
      <c r="E133" s="7">
        <v>14</v>
      </c>
      <c r="F133" s="30">
        <v>685600</v>
      </c>
      <c r="G133" s="30">
        <v>630151.35827876267</v>
      </c>
      <c r="H133" s="28">
        <v>706804.12371134025</v>
      </c>
      <c r="I133" s="7">
        <v>97</v>
      </c>
      <c r="J133" s="7" t="s">
        <v>69</v>
      </c>
      <c r="K133" s="7">
        <v>835</v>
      </c>
      <c r="L133" s="7">
        <v>32</v>
      </c>
      <c r="M133" s="7" t="s">
        <v>59</v>
      </c>
      <c r="N133" s="10">
        <v>5.6571254096030803E-2</v>
      </c>
      <c r="O133" s="7">
        <v>0.35</v>
      </c>
      <c r="P133" s="7">
        <v>0.4</v>
      </c>
    </row>
    <row r="134" spans="1:16" x14ac:dyDescent="0.15">
      <c r="A134" s="7">
        <v>1130</v>
      </c>
      <c r="B134" s="19">
        <v>45370</v>
      </c>
      <c r="C134" s="7">
        <v>360</v>
      </c>
      <c r="D134" s="19">
        <v>45747</v>
      </c>
      <c r="E134" s="7">
        <v>12</v>
      </c>
      <c r="F134" s="30">
        <v>436430</v>
      </c>
      <c r="G134" s="30">
        <v>406262.934385737</v>
      </c>
      <c r="H134" s="28">
        <v>449927.8350515464</v>
      </c>
      <c r="I134" s="7">
        <v>97</v>
      </c>
      <c r="J134" s="7" t="s">
        <v>72</v>
      </c>
      <c r="K134" s="7">
        <v>621</v>
      </c>
      <c r="L134" s="7">
        <v>45</v>
      </c>
      <c r="M134" s="7" t="s">
        <v>59</v>
      </c>
      <c r="N134" s="10">
        <v>5.6307510074926979E-2</v>
      </c>
      <c r="O134" s="7">
        <v>0.35</v>
      </c>
      <c r="P134" s="7">
        <v>0.42</v>
      </c>
    </row>
    <row r="135" spans="1:16" x14ac:dyDescent="0.15">
      <c r="A135" s="7">
        <v>1131</v>
      </c>
      <c r="B135" s="19">
        <v>45370</v>
      </c>
      <c r="C135" s="7">
        <v>360</v>
      </c>
      <c r="D135" s="19">
        <v>45747</v>
      </c>
      <c r="E135" s="7">
        <v>12</v>
      </c>
      <c r="F135" s="30">
        <v>206544</v>
      </c>
      <c r="G135" s="30">
        <v>188741.08009339214</v>
      </c>
      <c r="H135" s="28">
        <v>254992.59259259258</v>
      </c>
      <c r="I135" s="7">
        <v>81</v>
      </c>
      <c r="J135" s="7" t="s">
        <v>61</v>
      </c>
      <c r="K135" s="7">
        <v>697</v>
      </c>
      <c r="L135" s="7">
        <v>27</v>
      </c>
      <c r="M135" s="7" t="s">
        <v>59</v>
      </c>
      <c r="N135" s="10">
        <v>7.7771022585349861E-2</v>
      </c>
      <c r="O135" s="7">
        <v>0.12</v>
      </c>
      <c r="P135" s="7">
        <v>0.2</v>
      </c>
    </row>
    <row r="136" spans="1:16" x14ac:dyDescent="0.15">
      <c r="A136" s="7">
        <v>1132</v>
      </c>
      <c r="B136" s="19">
        <v>45445</v>
      </c>
      <c r="C136" s="7">
        <v>360</v>
      </c>
      <c r="D136" s="19">
        <v>45747</v>
      </c>
      <c r="E136" s="7">
        <v>9</v>
      </c>
      <c r="F136" s="30">
        <v>411875</v>
      </c>
      <c r="G136" s="30">
        <v>384775.33304428833</v>
      </c>
      <c r="H136" s="28">
        <v>457638.88888888888</v>
      </c>
      <c r="I136" s="7">
        <v>90</v>
      </c>
      <c r="J136" s="7" t="s">
        <v>73</v>
      </c>
      <c r="K136" s="7">
        <v>708</v>
      </c>
      <c r="L136" s="7">
        <v>3</v>
      </c>
      <c r="M136" s="7" t="s">
        <v>59</v>
      </c>
      <c r="N136" s="10">
        <v>7.9612499550566651E-2</v>
      </c>
      <c r="O136" s="7">
        <v>0.25</v>
      </c>
      <c r="P136" s="7">
        <v>0.33</v>
      </c>
    </row>
    <row r="137" spans="1:16" x14ac:dyDescent="0.15">
      <c r="A137" s="7">
        <v>1133</v>
      </c>
      <c r="B137" s="19">
        <v>45309</v>
      </c>
      <c r="C137" s="7">
        <v>360</v>
      </c>
      <c r="D137" s="19">
        <v>45747</v>
      </c>
      <c r="E137" s="7">
        <v>14</v>
      </c>
      <c r="F137" s="30">
        <v>263970</v>
      </c>
      <c r="G137" s="30">
        <v>237638.4353078088</v>
      </c>
      <c r="H137" s="28">
        <v>296595.50561797753</v>
      </c>
      <c r="I137" s="7">
        <v>89</v>
      </c>
      <c r="J137" s="7" t="s">
        <v>62</v>
      </c>
      <c r="K137" s="7">
        <v>685</v>
      </c>
      <c r="L137" s="7">
        <v>18</v>
      </c>
      <c r="M137" s="7" t="s">
        <v>59</v>
      </c>
      <c r="N137" s="10">
        <v>7.6935466409803144E-2</v>
      </c>
      <c r="O137" s="7">
        <v>0.12</v>
      </c>
      <c r="P137" s="7">
        <v>0.35</v>
      </c>
    </row>
    <row r="138" spans="1:16" x14ac:dyDescent="0.15">
      <c r="A138" s="7">
        <v>1134</v>
      </c>
      <c r="B138" s="19">
        <v>45297</v>
      </c>
      <c r="C138" s="7">
        <v>360</v>
      </c>
      <c r="D138" s="19">
        <v>45747</v>
      </c>
      <c r="E138" s="7">
        <v>14</v>
      </c>
      <c r="F138" s="30">
        <v>426840</v>
      </c>
      <c r="G138" s="30">
        <v>393084.93920963461</v>
      </c>
      <c r="H138" s="28">
        <v>458967.74193548382</v>
      </c>
      <c r="I138" s="7">
        <v>93</v>
      </c>
      <c r="J138" s="7" t="s">
        <v>63</v>
      </c>
      <c r="K138" s="7">
        <v>724</v>
      </c>
      <c r="L138" s="7">
        <v>6</v>
      </c>
      <c r="M138" s="7" t="s">
        <v>59</v>
      </c>
      <c r="N138" s="10">
        <v>5.4533632902002624E-2</v>
      </c>
      <c r="O138" s="7">
        <v>0.25</v>
      </c>
      <c r="P138" s="7">
        <v>0.23</v>
      </c>
    </row>
    <row r="139" spans="1:16" x14ac:dyDescent="0.15">
      <c r="A139" s="7">
        <v>1135</v>
      </c>
      <c r="B139" s="19">
        <v>45437</v>
      </c>
      <c r="C139" s="7">
        <v>360</v>
      </c>
      <c r="D139" s="19">
        <v>45747</v>
      </c>
      <c r="E139" s="7">
        <v>10</v>
      </c>
      <c r="F139" s="30">
        <v>684156</v>
      </c>
      <c r="G139" s="30">
        <v>643524.6499357326</v>
      </c>
      <c r="H139" s="28">
        <v>760173.33333333337</v>
      </c>
      <c r="I139" s="7">
        <v>90</v>
      </c>
      <c r="J139" s="7" t="s">
        <v>65</v>
      </c>
      <c r="K139" s="7">
        <v>631</v>
      </c>
      <c r="L139" s="7">
        <v>8</v>
      </c>
      <c r="M139" s="7" t="s">
        <v>59</v>
      </c>
      <c r="N139" s="10">
        <v>5.9117743894528528E-2</v>
      </c>
      <c r="O139" s="7">
        <v>0.25</v>
      </c>
      <c r="P139" s="7">
        <v>0.31</v>
      </c>
    </row>
    <row r="140" spans="1:16" x14ac:dyDescent="0.15">
      <c r="A140" s="7">
        <v>1136</v>
      </c>
      <c r="B140" s="19">
        <v>45354</v>
      </c>
      <c r="C140" s="7">
        <v>360</v>
      </c>
      <c r="D140" s="19">
        <v>45747</v>
      </c>
      <c r="E140" s="7">
        <v>12</v>
      </c>
      <c r="F140" s="30">
        <v>146731</v>
      </c>
      <c r="G140" s="30">
        <v>135022.04452662767</v>
      </c>
      <c r="H140" s="28">
        <v>183413.75</v>
      </c>
      <c r="I140" s="7">
        <v>80</v>
      </c>
      <c r="J140" s="7" t="s">
        <v>62</v>
      </c>
      <c r="K140" s="7">
        <v>802</v>
      </c>
      <c r="L140" s="7">
        <v>24</v>
      </c>
      <c r="M140" s="7" t="s">
        <v>59</v>
      </c>
      <c r="N140" s="10">
        <v>6.9953446415071063E-2</v>
      </c>
      <c r="O140" s="7">
        <v>0.12</v>
      </c>
      <c r="P140" s="7">
        <v>0.35</v>
      </c>
    </row>
    <row r="141" spans="1:16" x14ac:dyDescent="0.15">
      <c r="A141" s="7">
        <v>1137</v>
      </c>
      <c r="B141" s="19">
        <v>45361</v>
      </c>
      <c r="C141" s="7">
        <v>360</v>
      </c>
      <c r="D141" s="19">
        <v>45747</v>
      </c>
      <c r="E141" s="7">
        <v>12</v>
      </c>
      <c r="F141" s="30">
        <v>135732</v>
      </c>
      <c r="G141" s="30">
        <v>126968.90457370141</v>
      </c>
      <c r="H141" s="28">
        <v>163532.53012048194</v>
      </c>
      <c r="I141" s="7">
        <v>83</v>
      </c>
      <c r="J141" s="7" t="s">
        <v>60</v>
      </c>
      <c r="K141" s="7">
        <v>644</v>
      </c>
      <c r="L141" s="7">
        <v>32</v>
      </c>
      <c r="M141" s="7" t="s">
        <v>59</v>
      </c>
      <c r="N141" s="10">
        <v>5.0195093163057196E-2</v>
      </c>
      <c r="O141" s="7">
        <v>0.12</v>
      </c>
      <c r="P141" s="7">
        <v>0.4</v>
      </c>
    </row>
    <row r="142" spans="1:16" x14ac:dyDescent="0.15">
      <c r="A142" s="7">
        <v>1138</v>
      </c>
      <c r="B142" s="19">
        <v>45348</v>
      </c>
      <c r="C142" s="7">
        <v>360</v>
      </c>
      <c r="D142" s="19">
        <v>45747</v>
      </c>
      <c r="E142" s="7">
        <v>13</v>
      </c>
      <c r="F142" s="30">
        <v>191365</v>
      </c>
      <c r="G142" s="30">
        <v>174748.92444005498</v>
      </c>
      <c r="H142" s="28">
        <v>199338.54166666669</v>
      </c>
      <c r="I142" s="7">
        <v>96</v>
      </c>
      <c r="J142" s="7" t="s">
        <v>66</v>
      </c>
      <c r="K142" s="7">
        <v>609</v>
      </c>
      <c r="L142" s="7">
        <v>29</v>
      </c>
      <c r="M142" s="7" t="s">
        <v>59</v>
      </c>
      <c r="N142" s="10">
        <v>7.0389014687484402E-2</v>
      </c>
      <c r="O142" s="7">
        <v>0.3</v>
      </c>
      <c r="P142" s="7">
        <v>0.22</v>
      </c>
    </row>
    <row r="143" spans="1:16" x14ac:dyDescent="0.15">
      <c r="A143" s="7">
        <v>1139</v>
      </c>
      <c r="B143" s="19">
        <v>45397</v>
      </c>
      <c r="C143" s="7">
        <v>360</v>
      </c>
      <c r="D143" s="19">
        <v>45747</v>
      </c>
      <c r="E143" s="7">
        <v>11</v>
      </c>
      <c r="F143" s="30">
        <v>171199</v>
      </c>
      <c r="G143" s="30">
        <v>158522.28968807065</v>
      </c>
      <c r="H143" s="28">
        <v>190221.11111111109</v>
      </c>
      <c r="I143" s="7">
        <v>90</v>
      </c>
      <c r="J143" s="7" t="s">
        <v>66</v>
      </c>
      <c r="K143" s="7">
        <v>843</v>
      </c>
      <c r="L143" s="7">
        <v>3</v>
      </c>
      <c r="M143" s="7" t="s">
        <v>59</v>
      </c>
      <c r="N143" s="10">
        <v>7.1165940647365783E-2</v>
      </c>
      <c r="O143" s="7">
        <v>0.25</v>
      </c>
      <c r="P143" s="7">
        <v>0.35</v>
      </c>
    </row>
    <row r="144" spans="1:16" x14ac:dyDescent="0.15">
      <c r="A144" s="7">
        <v>1140</v>
      </c>
      <c r="B144" s="19">
        <v>45463</v>
      </c>
      <c r="C144" s="7">
        <v>360</v>
      </c>
      <c r="D144" s="19">
        <v>45747</v>
      </c>
      <c r="E144" s="7">
        <v>9</v>
      </c>
      <c r="F144" s="30">
        <v>202019</v>
      </c>
      <c r="G144" s="30">
        <v>189550.32450779583</v>
      </c>
      <c r="H144" s="28">
        <v>243396.38554216869</v>
      </c>
      <c r="I144" s="7">
        <v>83</v>
      </c>
      <c r="J144" s="7" t="s">
        <v>68</v>
      </c>
      <c r="K144" s="7">
        <v>646</v>
      </c>
      <c r="L144" s="7">
        <v>38</v>
      </c>
      <c r="M144" s="7" t="s">
        <v>59</v>
      </c>
      <c r="N144" s="10">
        <v>7.3030944127214573E-2</v>
      </c>
      <c r="O144" s="7">
        <v>0.12</v>
      </c>
      <c r="P144" s="7">
        <v>0.35</v>
      </c>
    </row>
    <row r="145" spans="1:16" x14ac:dyDescent="0.15">
      <c r="A145" s="7">
        <v>1141</v>
      </c>
      <c r="B145" s="19">
        <v>45445</v>
      </c>
      <c r="C145" s="7">
        <v>360</v>
      </c>
      <c r="D145" s="19">
        <v>45747</v>
      </c>
      <c r="E145" s="7">
        <v>9</v>
      </c>
      <c r="F145" s="30">
        <v>625530</v>
      </c>
      <c r="G145" s="30">
        <v>587144.26101885957</v>
      </c>
      <c r="H145" s="28">
        <v>744678.57142857148</v>
      </c>
      <c r="I145" s="7">
        <v>84</v>
      </c>
      <c r="J145" s="7" t="s">
        <v>66</v>
      </c>
      <c r="K145" s="7">
        <v>697</v>
      </c>
      <c r="L145" s="7">
        <v>34</v>
      </c>
      <c r="M145" s="7" t="s">
        <v>59</v>
      </c>
      <c r="N145" s="10">
        <v>7.244967043213095E-2</v>
      </c>
      <c r="O145" s="7">
        <v>0.12</v>
      </c>
      <c r="P145" s="7">
        <v>0.36</v>
      </c>
    </row>
    <row r="146" spans="1:16" x14ac:dyDescent="0.15">
      <c r="A146" s="7">
        <v>1142</v>
      </c>
      <c r="B146" s="19">
        <v>45439</v>
      </c>
      <c r="C146" s="7">
        <v>360</v>
      </c>
      <c r="D146" s="19">
        <v>45747</v>
      </c>
      <c r="E146" s="7">
        <v>10</v>
      </c>
      <c r="F146" s="30">
        <v>776160</v>
      </c>
      <c r="G146" s="30">
        <v>732274.97598411061</v>
      </c>
      <c r="H146" s="28">
        <v>902511.62790697673</v>
      </c>
      <c r="I146" s="7">
        <v>86</v>
      </c>
      <c r="J146" s="7" t="s">
        <v>60</v>
      </c>
      <c r="K146" s="7">
        <v>655</v>
      </c>
      <c r="L146" s="7">
        <v>4</v>
      </c>
      <c r="M146" s="7" t="s">
        <v>59</v>
      </c>
      <c r="N146" s="10">
        <v>5.4620791630340657E-2</v>
      </c>
      <c r="O146" s="7">
        <v>0.12</v>
      </c>
      <c r="P146" s="7">
        <v>0.22</v>
      </c>
    </row>
    <row r="147" spans="1:16" x14ac:dyDescent="0.15">
      <c r="A147" s="7">
        <v>1143</v>
      </c>
      <c r="B147" s="19">
        <v>45445</v>
      </c>
      <c r="C147" s="7">
        <v>360</v>
      </c>
      <c r="D147" s="19">
        <v>45747</v>
      </c>
      <c r="E147" s="7">
        <v>9</v>
      </c>
      <c r="F147" s="30">
        <v>333314</v>
      </c>
      <c r="G147" s="30">
        <v>316140.73119891138</v>
      </c>
      <c r="H147" s="28">
        <v>350856.84210526315</v>
      </c>
      <c r="I147" s="7">
        <v>95</v>
      </c>
      <c r="J147" s="7" t="s">
        <v>72</v>
      </c>
      <c r="K147" s="7">
        <v>631</v>
      </c>
      <c r="L147" s="7">
        <v>37</v>
      </c>
      <c r="M147" s="7" t="s">
        <v>59</v>
      </c>
      <c r="N147" s="10">
        <v>5.5745549737021012E-2</v>
      </c>
      <c r="O147" s="7">
        <v>0.3</v>
      </c>
      <c r="P147" s="7">
        <v>0.4</v>
      </c>
    </row>
    <row r="148" spans="1:16" x14ac:dyDescent="0.15">
      <c r="A148" s="7">
        <v>1144</v>
      </c>
      <c r="B148" s="19">
        <v>45380</v>
      </c>
      <c r="C148" s="7">
        <v>360</v>
      </c>
      <c r="D148" s="19">
        <v>45747</v>
      </c>
      <c r="E148" s="7">
        <v>12</v>
      </c>
      <c r="F148" s="30">
        <v>355202</v>
      </c>
      <c r="G148" s="30">
        <v>324345.83774074866</v>
      </c>
      <c r="H148" s="28">
        <v>373896.8421052632</v>
      </c>
      <c r="I148" s="7">
        <v>95</v>
      </c>
      <c r="J148" s="7" t="s">
        <v>66</v>
      </c>
      <c r="K148" s="7">
        <v>732</v>
      </c>
      <c r="L148" s="7">
        <v>34</v>
      </c>
      <c r="M148" s="7" t="s">
        <v>59</v>
      </c>
      <c r="N148" s="10">
        <v>7.8583080639847355E-2</v>
      </c>
      <c r="O148" s="7">
        <v>0.3</v>
      </c>
      <c r="P148" s="7">
        <v>0.42</v>
      </c>
    </row>
    <row r="149" spans="1:16" x14ac:dyDescent="0.15">
      <c r="A149" s="7">
        <v>1145</v>
      </c>
      <c r="B149" s="19">
        <v>45421</v>
      </c>
      <c r="C149" s="7">
        <v>360</v>
      </c>
      <c r="D149" s="19">
        <v>45747</v>
      </c>
      <c r="E149" s="7">
        <v>10</v>
      </c>
      <c r="F149" s="30">
        <v>516314</v>
      </c>
      <c r="G149" s="30">
        <v>481303.50538253452</v>
      </c>
      <c r="H149" s="28">
        <v>537827.08333333337</v>
      </c>
      <c r="I149" s="7">
        <v>96</v>
      </c>
      <c r="J149" s="7" t="s">
        <v>60</v>
      </c>
      <c r="K149" s="7">
        <v>847</v>
      </c>
      <c r="L149" s="7">
        <v>11</v>
      </c>
      <c r="M149" s="7" t="s">
        <v>59</v>
      </c>
      <c r="N149" s="10">
        <v>7.1896148308610672E-2</v>
      </c>
      <c r="O149" s="7">
        <v>0.3</v>
      </c>
      <c r="P149" s="7">
        <v>0.27</v>
      </c>
    </row>
    <row r="150" spans="1:16" x14ac:dyDescent="0.15">
      <c r="A150" s="7">
        <v>1146</v>
      </c>
      <c r="B150" s="19">
        <v>45435</v>
      </c>
      <c r="C150" s="7">
        <v>360</v>
      </c>
      <c r="D150" s="19">
        <v>45747</v>
      </c>
      <c r="E150" s="7">
        <v>10</v>
      </c>
      <c r="F150" s="30">
        <v>374540</v>
      </c>
      <c r="G150" s="30">
        <v>354213.89255776512</v>
      </c>
      <c r="H150" s="28">
        <v>394252.63157894736</v>
      </c>
      <c r="I150" s="7">
        <v>95</v>
      </c>
      <c r="J150" s="7" t="s">
        <v>69</v>
      </c>
      <c r="K150" s="7">
        <v>796</v>
      </c>
      <c r="L150" s="7">
        <v>28</v>
      </c>
      <c r="M150" s="7" t="s">
        <v>59</v>
      </c>
      <c r="N150" s="10">
        <v>5.0958571669898492E-2</v>
      </c>
      <c r="O150" s="7">
        <v>0.3</v>
      </c>
      <c r="P150" s="7">
        <v>0.43</v>
      </c>
    </row>
    <row r="151" spans="1:16" x14ac:dyDescent="0.15">
      <c r="A151" s="7">
        <v>1147</v>
      </c>
      <c r="B151" s="19">
        <v>45344</v>
      </c>
      <c r="C151" s="7">
        <v>360</v>
      </c>
      <c r="D151" s="19">
        <v>45747</v>
      </c>
      <c r="E151" s="7">
        <v>13</v>
      </c>
      <c r="F151" s="30">
        <v>112093</v>
      </c>
      <c r="G151" s="30">
        <v>103817.64625089635</v>
      </c>
      <c r="H151" s="28">
        <v>116763.54166666667</v>
      </c>
      <c r="I151" s="7">
        <v>96</v>
      </c>
      <c r="J151" s="7" t="s">
        <v>69</v>
      </c>
      <c r="K151" s="7">
        <v>748</v>
      </c>
      <c r="L151" s="7">
        <v>49</v>
      </c>
      <c r="M151" s="7" t="s">
        <v>59</v>
      </c>
      <c r="N151" s="10">
        <v>5.5016201485706177E-2</v>
      </c>
      <c r="O151" s="7">
        <v>0.3</v>
      </c>
      <c r="P151" s="7">
        <v>0.36</v>
      </c>
    </row>
    <row r="152" spans="1:16" x14ac:dyDescent="0.15">
      <c r="A152" s="7">
        <v>1148</v>
      </c>
      <c r="B152" s="19">
        <v>45470</v>
      </c>
      <c r="C152" s="7">
        <v>360</v>
      </c>
      <c r="D152" s="19">
        <v>45747</v>
      </c>
      <c r="E152" s="7">
        <v>9</v>
      </c>
      <c r="F152" s="30">
        <v>241566</v>
      </c>
      <c r="G152" s="30">
        <v>228740.86085977851</v>
      </c>
      <c r="H152" s="28">
        <v>256985.10638297873</v>
      </c>
      <c r="I152" s="7">
        <v>94</v>
      </c>
      <c r="J152" s="7" t="s">
        <v>61</v>
      </c>
      <c r="K152" s="7">
        <v>676</v>
      </c>
      <c r="L152" s="7">
        <v>5</v>
      </c>
      <c r="M152" s="7" t="s">
        <v>59</v>
      </c>
      <c r="N152" s="10">
        <v>5.8494730455355054E-2</v>
      </c>
      <c r="O152" s="7">
        <v>0.25</v>
      </c>
      <c r="P152" s="7">
        <v>0.28999999999999998</v>
      </c>
    </row>
    <row r="153" spans="1:16" x14ac:dyDescent="0.15">
      <c r="A153" s="7">
        <v>1149</v>
      </c>
      <c r="B153" s="19">
        <v>45400</v>
      </c>
      <c r="C153" s="7">
        <v>360</v>
      </c>
      <c r="D153" s="19">
        <v>45747</v>
      </c>
      <c r="E153" s="7">
        <v>11</v>
      </c>
      <c r="F153" s="30">
        <v>352400</v>
      </c>
      <c r="G153" s="30">
        <v>330515.29505023611</v>
      </c>
      <c r="H153" s="28">
        <v>409767.4418604651</v>
      </c>
      <c r="I153" s="7">
        <v>86</v>
      </c>
      <c r="J153" s="7" t="s">
        <v>68</v>
      </c>
      <c r="K153" s="7">
        <v>809</v>
      </c>
      <c r="L153" s="7">
        <v>42</v>
      </c>
      <c r="M153" s="7" t="s">
        <v>59</v>
      </c>
      <c r="N153" s="10">
        <v>5.4485091328348438E-2</v>
      </c>
      <c r="O153" s="7">
        <v>0.12</v>
      </c>
      <c r="P153" s="7">
        <v>0.28999999999999998</v>
      </c>
    </row>
    <row r="154" spans="1:16" x14ac:dyDescent="0.15">
      <c r="A154" s="7">
        <v>1150</v>
      </c>
      <c r="B154" s="19">
        <v>45315</v>
      </c>
      <c r="C154" s="7">
        <v>360</v>
      </c>
      <c r="D154" s="19">
        <v>45747</v>
      </c>
      <c r="E154" s="7">
        <v>14</v>
      </c>
      <c r="F154" s="30">
        <v>518988</v>
      </c>
      <c r="G154" s="30">
        <v>475400.52862813196</v>
      </c>
      <c r="H154" s="28">
        <v>546303.15789473685</v>
      </c>
      <c r="I154" s="7">
        <v>95</v>
      </c>
      <c r="J154" s="7" t="s">
        <v>65</v>
      </c>
      <c r="K154" s="7">
        <v>816</v>
      </c>
      <c r="L154" s="7">
        <v>19</v>
      </c>
      <c r="M154" s="7" t="s">
        <v>59</v>
      </c>
      <c r="N154" s="10">
        <v>6.0053805261027285E-2</v>
      </c>
      <c r="O154" s="7">
        <v>0.3</v>
      </c>
      <c r="P154" s="7">
        <v>0.31</v>
      </c>
    </row>
    <row r="155" spans="1:16" x14ac:dyDescent="0.15">
      <c r="A155" s="7">
        <v>1151</v>
      </c>
      <c r="B155" s="19">
        <v>45448</v>
      </c>
      <c r="C155" s="7">
        <v>360</v>
      </c>
      <c r="D155" s="19">
        <v>45747</v>
      </c>
      <c r="E155" s="7">
        <v>9</v>
      </c>
      <c r="F155" s="30">
        <v>353632</v>
      </c>
      <c r="G155" s="30">
        <v>332648.8237577519</v>
      </c>
      <c r="H155" s="28">
        <v>384382.60869565216</v>
      </c>
      <c r="I155" s="7">
        <v>92</v>
      </c>
      <c r="J155" s="7" t="s">
        <v>73</v>
      </c>
      <c r="K155" s="7">
        <v>623</v>
      </c>
      <c r="L155" s="7">
        <v>26</v>
      </c>
      <c r="M155" s="7" t="s">
        <v>59</v>
      </c>
      <c r="N155" s="10">
        <v>6.9103270086006405E-2</v>
      </c>
      <c r="O155" s="7">
        <v>0.25</v>
      </c>
      <c r="P155" s="7">
        <v>0.24</v>
      </c>
    </row>
    <row r="156" spans="1:16" x14ac:dyDescent="0.15">
      <c r="A156" s="7">
        <v>1152</v>
      </c>
      <c r="B156" s="19">
        <v>45431</v>
      </c>
      <c r="C156" s="7">
        <v>360</v>
      </c>
      <c r="D156" s="19">
        <v>45747</v>
      </c>
      <c r="E156" s="7">
        <v>10</v>
      </c>
      <c r="F156" s="30">
        <v>376373</v>
      </c>
      <c r="G156" s="30">
        <v>351543.89837276866</v>
      </c>
      <c r="H156" s="28">
        <v>442791.76470588235</v>
      </c>
      <c r="I156" s="7">
        <v>85</v>
      </c>
      <c r="J156" s="7" t="s">
        <v>63</v>
      </c>
      <c r="K156" s="7">
        <v>616</v>
      </c>
      <c r="L156" s="7">
        <v>42</v>
      </c>
      <c r="M156" s="7" t="s">
        <v>59</v>
      </c>
      <c r="N156" s="10">
        <v>6.9163487260679488E-2</v>
      </c>
      <c r="O156" s="7">
        <v>0.12</v>
      </c>
      <c r="P156" s="7">
        <v>0.39</v>
      </c>
    </row>
    <row r="157" spans="1:16" x14ac:dyDescent="0.15">
      <c r="A157" s="7">
        <v>1153</v>
      </c>
      <c r="B157" s="19">
        <v>45342</v>
      </c>
      <c r="C157" s="7">
        <v>360</v>
      </c>
      <c r="D157" s="19">
        <v>45747</v>
      </c>
      <c r="E157" s="7">
        <v>13</v>
      </c>
      <c r="F157" s="30">
        <v>633111</v>
      </c>
      <c r="G157" s="30">
        <v>574541.31488577405</v>
      </c>
      <c r="H157" s="28">
        <v>736175.58139534888</v>
      </c>
      <c r="I157" s="7">
        <v>86</v>
      </c>
      <c r="J157" s="7" t="s">
        <v>74</v>
      </c>
      <c r="K157" s="7">
        <v>666</v>
      </c>
      <c r="L157" s="7">
        <v>39</v>
      </c>
      <c r="M157" s="7" t="s">
        <v>59</v>
      </c>
      <c r="N157" s="10">
        <v>7.6806009743033213E-2</v>
      </c>
      <c r="O157" s="7">
        <v>0.12</v>
      </c>
      <c r="P157" s="7">
        <v>0.4</v>
      </c>
    </row>
    <row r="158" spans="1:16" x14ac:dyDescent="0.15">
      <c r="A158" s="7">
        <v>1154</v>
      </c>
      <c r="B158" s="19">
        <v>45415</v>
      </c>
      <c r="C158" s="7">
        <v>360</v>
      </c>
      <c r="D158" s="19">
        <v>45747</v>
      </c>
      <c r="E158" s="7">
        <v>10</v>
      </c>
      <c r="F158" s="30">
        <v>787850</v>
      </c>
      <c r="G158" s="30">
        <v>733111.23821817304</v>
      </c>
      <c r="H158" s="28">
        <v>885224.71910112363</v>
      </c>
      <c r="I158" s="7">
        <v>89</v>
      </c>
      <c r="J158" s="7" t="s">
        <v>66</v>
      </c>
      <c r="K158" s="7">
        <v>623</v>
      </c>
      <c r="L158" s="7">
        <v>2</v>
      </c>
      <c r="M158" s="7" t="s">
        <v>59</v>
      </c>
      <c r="N158" s="10">
        <v>7.4352571901878134E-2</v>
      </c>
      <c r="O158" s="7">
        <v>0.12</v>
      </c>
      <c r="P158" s="7">
        <v>0.21</v>
      </c>
    </row>
    <row r="159" spans="1:16" x14ac:dyDescent="0.15">
      <c r="A159" s="7">
        <v>1155</v>
      </c>
      <c r="B159" s="19">
        <v>45340</v>
      </c>
      <c r="C159" s="7">
        <v>360</v>
      </c>
      <c r="D159" s="19">
        <v>45747</v>
      </c>
      <c r="E159" s="7">
        <v>13</v>
      </c>
      <c r="F159" s="30">
        <v>144078</v>
      </c>
      <c r="G159" s="30">
        <v>132041.02285868643</v>
      </c>
      <c r="H159" s="28">
        <v>173587.95180722894</v>
      </c>
      <c r="I159" s="7">
        <v>83</v>
      </c>
      <c r="J159" s="7" t="s">
        <v>68</v>
      </c>
      <c r="K159" s="7">
        <v>841</v>
      </c>
      <c r="L159" s="7">
        <v>40</v>
      </c>
      <c r="M159" s="7" t="s">
        <v>59</v>
      </c>
      <c r="N159" s="10">
        <v>6.6603908415554622E-2</v>
      </c>
      <c r="O159" s="7">
        <v>0.12</v>
      </c>
      <c r="P159" s="7">
        <v>0.41</v>
      </c>
    </row>
    <row r="160" spans="1:16" x14ac:dyDescent="0.15">
      <c r="A160" s="7">
        <v>1156</v>
      </c>
      <c r="B160" s="19">
        <v>45327</v>
      </c>
      <c r="C160" s="7">
        <v>360</v>
      </c>
      <c r="D160" s="19">
        <v>45747</v>
      </c>
      <c r="E160" s="7">
        <v>13</v>
      </c>
      <c r="F160" s="30">
        <v>655196</v>
      </c>
      <c r="G160" s="30">
        <v>606817.35179757664</v>
      </c>
      <c r="H160" s="28">
        <v>689680</v>
      </c>
      <c r="I160" s="7">
        <v>95</v>
      </c>
      <c r="J160" s="7" t="s">
        <v>71</v>
      </c>
      <c r="K160" s="7">
        <v>740</v>
      </c>
      <c r="L160" s="7">
        <v>0</v>
      </c>
      <c r="M160" s="7" t="s">
        <v>59</v>
      </c>
      <c r="N160" s="10">
        <v>5.503171034745595E-2</v>
      </c>
      <c r="O160" s="7">
        <v>0.3</v>
      </c>
      <c r="P160" s="7">
        <v>0.25</v>
      </c>
    </row>
    <row r="161" spans="1:16" x14ac:dyDescent="0.15">
      <c r="A161" s="7">
        <v>1157</v>
      </c>
      <c r="B161" s="19">
        <v>45316</v>
      </c>
      <c r="C161" s="7">
        <v>360</v>
      </c>
      <c r="D161" s="19">
        <v>45747</v>
      </c>
      <c r="E161" s="7">
        <v>14</v>
      </c>
      <c r="F161" s="30">
        <v>767090</v>
      </c>
      <c r="G161" s="30">
        <v>704424.20335895452</v>
      </c>
      <c r="H161" s="28">
        <v>861898.8764044944</v>
      </c>
      <c r="I161" s="7">
        <v>89</v>
      </c>
      <c r="J161" s="7" t="s">
        <v>66</v>
      </c>
      <c r="K161" s="7">
        <v>765</v>
      </c>
      <c r="L161" s="7">
        <v>20</v>
      </c>
      <c r="M161" s="7" t="s">
        <v>59</v>
      </c>
      <c r="N161" s="10">
        <v>5.7491777175140861E-2</v>
      </c>
      <c r="O161" s="7">
        <v>0.12</v>
      </c>
      <c r="P161" s="7">
        <v>0.23</v>
      </c>
    </row>
    <row r="162" spans="1:16" x14ac:dyDescent="0.15">
      <c r="A162" s="7">
        <v>1158</v>
      </c>
      <c r="B162" s="19">
        <v>45402</v>
      </c>
      <c r="C162" s="7">
        <v>360</v>
      </c>
      <c r="D162" s="19">
        <v>45747</v>
      </c>
      <c r="E162" s="7">
        <v>11</v>
      </c>
      <c r="F162" s="30">
        <v>742215</v>
      </c>
      <c r="G162" s="30">
        <v>685537.17225803889</v>
      </c>
      <c r="H162" s="28">
        <v>883589.2857142858</v>
      </c>
      <c r="I162" s="7">
        <v>84</v>
      </c>
      <c r="J162" s="7" t="s">
        <v>72</v>
      </c>
      <c r="K162" s="7">
        <v>604</v>
      </c>
      <c r="L162" s="7">
        <v>3</v>
      </c>
      <c r="M162" s="7" t="s">
        <v>59</v>
      </c>
      <c r="N162" s="10">
        <v>7.4268130381436481E-2</v>
      </c>
      <c r="O162" s="7">
        <v>0.12</v>
      </c>
      <c r="P162" s="7">
        <v>0.28999999999999998</v>
      </c>
    </row>
    <row r="163" spans="1:16" x14ac:dyDescent="0.15">
      <c r="A163" s="7">
        <v>1159</v>
      </c>
      <c r="B163" s="19">
        <v>45387</v>
      </c>
      <c r="C163" s="7">
        <v>360</v>
      </c>
      <c r="D163" s="19">
        <v>45747</v>
      </c>
      <c r="E163" s="7">
        <v>11</v>
      </c>
      <c r="F163" s="30">
        <v>364681</v>
      </c>
      <c r="G163" s="30">
        <v>343145.88710759941</v>
      </c>
      <c r="H163" s="28">
        <v>455851.25</v>
      </c>
      <c r="I163" s="7">
        <v>80</v>
      </c>
      <c r="J163" s="7" t="s">
        <v>73</v>
      </c>
      <c r="K163" s="7">
        <v>689</v>
      </c>
      <c r="L163" s="7">
        <v>30</v>
      </c>
      <c r="M163" s="7" t="s">
        <v>59</v>
      </c>
      <c r="N163" s="10">
        <v>5.0002291497980259E-2</v>
      </c>
      <c r="O163" s="7">
        <v>0.12</v>
      </c>
      <c r="P163" s="7">
        <v>0.22</v>
      </c>
    </row>
    <row r="164" spans="1:16" x14ac:dyDescent="0.15">
      <c r="A164" s="7">
        <v>1160</v>
      </c>
      <c r="B164" s="19">
        <v>45445</v>
      </c>
      <c r="C164" s="7">
        <v>360</v>
      </c>
      <c r="D164" s="19">
        <v>45747</v>
      </c>
      <c r="E164" s="7">
        <v>9</v>
      </c>
      <c r="F164" s="30">
        <v>515795</v>
      </c>
      <c r="G164" s="30">
        <v>486383.89013670647</v>
      </c>
      <c r="H164" s="28">
        <v>537286.45833333337</v>
      </c>
      <c r="I164" s="7">
        <v>96</v>
      </c>
      <c r="J164" s="7" t="s">
        <v>68</v>
      </c>
      <c r="K164" s="7">
        <v>817</v>
      </c>
      <c r="L164" s="7">
        <v>2</v>
      </c>
      <c r="M164" s="7" t="s">
        <v>59</v>
      </c>
      <c r="N164" s="10">
        <v>6.5227644748365426E-2</v>
      </c>
      <c r="O164" s="7">
        <v>0.3</v>
      </c>
      <c r="P164" s="7">
        <v>0.31</v>
      </c>
    </row>
    <row r="165" spans="1:16" x14ac:dyDescent="0.15">
      <c r="A165" s="7">
        <v>1161</v>
      </c>
      <c r="B165" s="19">
        <v>45390</v>
      </c>
      <c r="C165" s="7">
        <v>360</v>
      </c>
      <c r="D165" s="19">
        <v>45747</v>
      </c>
      <c r="E165" s="7">
        <v>11</v>
      </c>
      <c r="F165" s="30">
        <v>101872</v>
      </c>
      <c r="G165" s="30">
        <v>95685.064605159292</v>
      </c>
      <c r="H165" s="28">
        <v>108374.46808510639</v>
      </c>
      <c r="I165" s="7">
        <v>94</v>
      </c>
      <c r="J165" s="7" t="s">
        <v>67</v>
      </c>
      <c r="K165" s="7">
        <v>795</v>
      </c>
      <c r="L165" s="7">
        <v>25</v>
      </c>
      <c r="M165" s="7" t="s">
        <v>59</v>
      </c>
      <c r="N165" s="10">
        <v>5.2485373904912425E-2</v>
      </c>
      <c r="O165" s="7">
        <v>0.25</v>
      </c>
      <c r="P165" s="7">
        <v>0.21</v>
      </c>
    </row>
    <row r="166" spans="1:16" x14ac:dyDescent="0.15">
      <c r="A166" s="7">
        <v>1162</v>
      </c>
      <c r="B166" s="19">
        <v>45334</v>
      </c>
      <c r="C166" s="7">
        <v>360</v>
      </c>
      <c r="D166" s="19">
        <v>45747</v>
      </c>
      <c r="E166" s="7">
        <v>13</v>
      </c>
      <c r="F166" s="30">
        <v>740890</v>
      </c>
      <c r="G166" s="30">
        <v>687197.94798886473</v>
      </c>
      <c r="H166" s="28">
        <v>805315.21739130432</v>
      </c>
      <c r="I166" s="7">
        <v>92</v>
      </c>
      <c r="J166" s="7" t="s">
        <v>65</v>
      </c>
      <c r="K166" s="7">
        <v>842</v>
      </c>
      <c r="L166" s="7">
        <v>30</v>
      </c>
      <c r="M166" s="7" t="s">
        <v>59</v>
      </c>
      <c r="N166" s="10">
        <v>5.3346599854068817E-2</v>
      </c>
      <c r="O166" s="7">
        <v>0.25</v>
      </c>
      <c r="P166" s="7">
        <v>0.44</v>
      </c>
    </row>
    <row r="167" spans="1:16" x14ac:dyDescent="0.15">
      <c r="A167" s="7">
        <v>1163</v>
      </c>
      <c r="B167" s="19">
        <v>45404</v>
      </c>
      <c r="C167" s="7">
        <v>360</v>
      </c>
      <c r="D167" s="19">
        <v>45747</v>
      </c>
      <c r="E167" s="7">
        <v>11</v>
      </c>
      <c r="F167" s="30">
        <v>225068</v>
      </c>
      <c r="G167" s="30">
        <v>210715.199243626</v>
      </c>
      <c r="H167" s="28">
        <v>239434.04255319151</v>
      </c>
      <c r="I167" s="7">
        <v>94</v>
      </c>
      <c r="J167" s="7" t="s">
        <v>74</v>
      </c>
      <c r="K167" s="7">
        <v>620</v>
      </c>
      <c r="L167" s="7">
        <v>23</v>
      </c>
      <c r="M167" s="7" t="s">
        <v>59</v>
      </c>
      <c r="N167" s="10">
        <v>5.6895114706134765E-2</v>
      </c>
      <c r="O167" s="7">
        <v>0.25</v>
      </c>
      <c r="P167" s="7">
        <v>0.28000000000000003</v>
      </c>
    </row>
    <row r="168" spans="1:16" x14ac:dyDescent="0.15">
      <c r="A168" s="7">
        <v>1164</v>
      </c>
      <c r="B168" s="19">
        <v>45446</v>
      </c>
      <c r="C168" s="7">
        <v>360</v>
      </c>
      <c r="D168" s="19">
        <v>45747</v>
      </c>
      <c r="E168" s="7">
        <v>9</v>
      </c>
      <c r="F168" s="30">
        <v>316232</v>
      </c>
      <c r="G168" s="30">
        <v>300807.51873634174</v>
      </c>
      <c r="H168" s="28">
        <v>347507.69230769231</v>
      </c>
      <c r="I168" s="7">
        <v>91</v>
      </c>
      <c r="J168" s="7" t="s">
        <v>74</v>
      </c>
      <c r="K168" s="7">
        <v>734</v>
      </c>
      <c r="L168" s="7">
        <v>45</v>
      </c>
      <c r="M168" s="7" t="s">
        <v>59</v>
      </c>
      <c r="N168" s="10">
        <v>5.0837837681025448E-2</v>
      </c>
      <c r="O168" s="7">
        <v>0.25</v>
      </c>
      <c r="P168" s="7">
        <v>0.37</v>
      </c>
    </row>
    <row r="169" spans="1:16" x14ac:dyDescent="0.15">
      <c r="A169" s="7">
        <v>1165</v>
      </c>
      <c r="B169" s="19">
        <v>45393</v>
      </c>
      <c r="C169" s="7">
        <v>360</v>
      </c>
      <c r="D169" s="19">
        <v>45747</v>
      </c>
      <c r="E169" s="7">
        <v>11</v>
      </c>
      <c r="F169" s="30">
        <v>524045</v>
      </c>
      <c r="G169" s="30">
        <v>492263.08135748503</v>
      </c>
      <c r="H169" s="28">
        <v>655056.25</v>
      </c>
      <c r="I169" s="7">
        <v>80</v>
      </c>
      <c r="J169" s="7" t="s">
        <v>70</v>
      </c>
      <c r="K169" s="7">
        <v>798</v>
      </c>
      <c r="L169" s="7">
        <v>37</v>
      </c>
      <c r="M169" s="7" t="s">
        <v>59</v>
      </c>
      <c r="N169" s="10">
        <v>5.2360367498137279E-2</v>
      </c>
      <c r="O169" s="7">
        <v>0.12</v>
      </c>
      <c r="P169" s="7">
        <v>0.27</v>
      </c>
    </row>
    <row r="170" spans="1:16" x14ac:dyDescent="0.15">
      <c r="A170" s="7">
        <v>1166</v>
      </c>
      <c r="B170" s="19">
        <v>45403</v>
      </c>
      <c r="C170" s="7">
        <v>360</v>
      </c>
      <c r="D170" s="19">
        <v>45747</v>
      </c>
      <c r="E170" s="7">
        <v>11</v>
      </c>
      <c r="F170" s="30">
        <v>468501</v>
      </c>
      <c r="G170" s="30">
        <v>434004.94555446639</v>
      </c>
      <c r="H170" s="28">
        <v>557739.28571428568</v>
      </c>
      <c r="I170" s="7">
        <v>84</v>
      </c>
      <c r="J170" s="7" t="s">
        <v>68</v>
      </c>
      <c r="K170" s="7">
        <v>604</v>
      </c>
      <c r="L170" s="7">
        <v>7</v>
      </c>
      <c r="M170" s="7" t="s">
        <v>59</v>
      </c>
      <c r="N170" s="10">
        <v>7.060490426950744E-2</v>
      </c>
      <c r="O170" s="7">
        <v>0.12</v>
      </c>
      <c r="P170" s="7">
        <v>0.42</v>
      </c>
    </row>
    <row r="171" spans="1:16" x14ac:dyDescent="0.15">
      <c r="A171" s="7">
        <v>1167</v>
      </c>
      <c r="B171" s="19">
        <v>45299</v>
      </c>
      <c r="C171" s="7">
        <v>360</v>
      </c>
      <c r="D171" s="19">
        <v>45747</v>
      </c>
      <c r="E171" s="7">
        <v>14</v>
      </c>
      <c r="F171" s="30">
        <v>477699</v>
      </c>
      <c r="G171" s="30">
        <v>440530.38823437179</v>
      </c>
      <c r="H171" s="28">
        <v>555463.95348837215</v>
      </c>
      <c r="I171" s="7">
        <v>86</v>
      </c>
      <c r="J171" s="7" t="s">
        <v>69</v>
      </c>
      <c r="K171" s="7">
        <v>645</v>
      </c>
      <c r="L171" s="7">
        <v>27</v>
      </c>
      <c r="M171" s="7" t="s">
        <v>59</v>
      </c>
      <c r="N171" s="10">
        <v>5.3074688284361737E-2</v>
      </c>
      <c r="O171" s="7">
        <v>0.12</v>
      </c>
      <c r="P171" s="7">
        <v>0.37</v>
      </c>
    </row>
    <row r="172" spans="1:16" x14ac:dyDescent="0.15">
      <c r="A172" s="7">
        <v>1168</v>
      </c>
      <c r="B172" s="19">
        <v>45419</v>
      </c>
      <c r="C172" s="7">
        <v>360</v>
      </c>
      <c r="D172" s="19">
        <v>45747</v>
      </c>
      <c r="E172" s="7">
        <v>10</v>
      </c>
      <c r="F172" s="30">
        <v>236367</v>
      </c>
      <c r="G172" s="30">
        <v>221534.59157541938</v>
      </c>
      <c r="H172" s="28">
        <v>254158.06451612903</v>
      </c>
      <c r="I172" s="7">
        <v>93</v>
      </c>
      <c r="J172" s="7" t="s">
        <v>61</v>
      </c>
      <c r="K172" s="7">
        <v>713</v>
      </c>
      <c r="L172" s="7">
        <v>49</v>
      </c>
      <c r="M172" s="7" t="s">
        <v>59</v>
      </c>
      <c r="N172" s="10">
        <v>6.4306791536307764E-2</v>
      </c>
      <c r="O172" s="7">
        <v>0.25</v>
      </c>
      <c r="P172" s="7">
        <v>0.33</v>
      </c>
    </row>
    <row r="173" spans="1:16" x14ac:dyDescent="0.15">
      <c r="A173" s="7">
        <v>1169</v>
      </c>
      <c r="B173" s="19">
        <v>45395</v>
      </c>
      <c r="C173" s="7">
        <v>360</v>
      </c>
      <c r="D173" s="19">
        <v>45747</v>
      </c>
      <c r="E173" s="7">
        <v>11</v>
      </c>
      <c r="F173" s="30">
        <v>158195</v>
      </c>
      <c r="G173" s="30">
        <v>147682.49508232475</v>
      </c>
      <c r="H173" s="28">
        <v>171951.08695652173</v>
      </c>
      <c r="I173" s="7">
        <v>92</v>
      </c>
      <c r="J173" s="7" t="s">
        <v>62</v>
      </c>
      <c r="K173" s="7">
        <v>633</v>
      </c>
      <c r="L173" s="7">
        <v>30</v>
      </c>
      <c r="M173" s="7" t="s">
        <v>59</v>
      </c>
      <c r="N173" s="10">
        <v>6.0709031311905637E-2</v>
      </c>
      <c r="O173" s="7">
        <v>0.25</v>
      </c>
      <c r="P173" s="7">
        <v>0.41</v>
      </c>
    </row>
    <row r="174" spans="1:16" x14ac:dyDescent="0.15">
      <c r="A174" s="7">
        <v>1170</v>
      </c>
      <c r="B174" s="19">
        <v>45304</v>
      </c>
      <c r="C174" s="7">
        <v>360</v>
      </c>
      <c r="D174" s="19">
        <v>45747</v>
      </c>
      <c r="E174" s="7">
        <v>14</v>
      </c>
      <c r="F174" s="30">
        <v>370240</v>
      </c>
      <c r="G174" s="30">
        <v>338301.81324337726</v>
      </c>
      <c r="H174" s="28">
        <v>402434.78260869562</v>
      </c>
      <c r="I174" s="7">
        <v>92</v>
      </c>
      <c r="J174" s="7" t="s">
        <v>68</v>
      </c>
      <c r="K174" s="7">
        <v>806</v>
      </c>
      <c r="L174" s="7">
        <v>37</v>
      </c>
      <c r="M174" s="7" t="s">
        <v>59</v>
      </c>
      <c r="N174" s="10">
        <v>6.2569246104600018E-2</v>
      </c>
      <c r="O174" s="7">
        <v>0.25</v>
      </c>
      <c r="P174" s="7">
        <v>0.21</v>
      </c>
    </row>
    <row r="175" spans="1:16" x14ac:dyDescent="0.15">
      <c r="A175" s="7">
        <v>1171</v>
      </c>
      <c r="B175" s="19">
        <v>45386</v>
      </c>
      <c r="C175" s="7">
        <v>360</v>
      </c>
      <c r="D175" s="19">
        <v>45747</v>
      </c>
      <c r="E175" s="7">
        <v>11</v>
      </c>
      <c r="F175" s="30">
        <v>531161</v>
      </c>
      <c r="G175" s="30">
        <v>493767.82243843004</v>
      </c>
      <c r="H175" s="28">
        <v>610529.88505747123</v>
      </c>
      <c r="I175" s="7">
        <v>87</v>
      </c>
      <c r="J175" s="7" t="s">
        <v>69</v>
      </c>
      <c r="K175" s="7">
        <v>771</v>
      </c>
      <c r="L175" s="7">
        <v>48</v>
      </c>
      <c r="M175" s="7" t="s">
        <v>59</v>
      </c>
      <c r="N175" s="10">
        <v>6.6201524606464238E-2</v>
      </c>
      <c r="O175" s="7">
        <v>0.12</v>
      </c>
      <c r="P175" s="7">
        <v>0.21</v>
      </c>
    </row>
    <row r="176" spans="1:16" x14ac:dyDescent="0.15">
      <c r="A176" s="7">
        <v>1172</v>
      </c>
      <c r="B176" s="19">
        <v>45465</v>
      </c>
      <c r="C176" s="7">
        <v>360</v>
      </c>
      <c r="D176" s="19">
        <v>45747</v>
      </c>
      <c r="E176" s="7">
        <v>9</v>
      </c>
      <c r="F176" s="30">
        <v>589962</v>
      </c>
      <c r="G176" s="30">
        <v>561022.95266867895</v>
      </c>
      <c r="H176" s="28">
        <v>686002.32558139542</v>
      </c>
      <c r="I176" s="7">
        <v>86</v>
      </c>
      <c r="J176" s="7" t="s">
        <v>63</v>
      </c>
      <c r="K176" s="7">
        <v>680</v>
      </c>
      <c r="L176" s="7">
        <v>42</v>
      </c>
      <c r="M176" s="7" t="s">
        <v>59</v>
      </c>
      <c r="N176" s="10">
        <v>5.133767890554921E-2</v>
      </c>
      <c r="O176" s="7">
        <v>0.12</v>
      </c>
      <c r="P176" s="7">
        <v>0.42</v>
      </c>
    </row>
    <row r="177" spans="1:16" x14ac:dyDescent="0.15">
      <c r="A177" s="7">
        <v>1173</v>
      </c>
      <c r="B177" s="19">
        <v>45437</v>
      </c>
      <c r="C177" s="7">
        <v>360</v>
      </c>
      <c r="D177" s="19">
        <v>45747</v>
      </c>
      <c r="E177" s="7">
        <v>10</v>
      </c>
      <c r="F177" s="30">
        <v>670097</v>
      </c>
      <c r="G177" s="30">
        <v>631168.71399958141</v>
      </c>
      <c r="H177" s="28">
        <v>744552.22222222225</v>
      </c>
      <c r="I177" s="7">
        <v>90</v>
      </c>
      <c r="J177" s="7" t="s">
        <v>71</v>
      </c>
      <c r="K177" s="7">
        <v>773</v>
      </c>
      <c r="L177" s="7">
        <v>5</v>
      </c>
      <c r="M177" s="7" t="s">
        <v>59</v>
      </c>
      <c r="N177" s="10">
        <v>5.7084352752506867E-2</v>
      </c>
      <c r="O177" s="7">
        <v>0.25</v>
      </c>
      <c r="P177" s="7">
        <v>0.39</v>
      </c>
    </row>
    <row r="178" spans="1:16" x14ac:dyDescent="0.15">
      <c r="A178" s="7">
        <v>1174</v>
      </c>
      <c r="B178" s="19">
        <v>45332</v>
      </c>
      <c r="C178" s="7">
        <v>360</v>
      </c>
      <c r="D178" s="19">
        <v>45747</v>
      </c>
      <c r="E178" s="7">
        <v>13</v>
      </c>
      <c r="F178" s="30">
        <v>735108</v>
      </c>
      <c r="G178" s="30">
        <v>667621.78335168655</v>
      </c>
      <c r="H178" s="28">
        <v>864832.9411764706</v>
      </c>
      <c r="I178" s="7">
        <v>85</v>
      </c>
      <c r="J178" s="7" t="s">
        <v>73</v>
      </c>
      <c r="K178" s="7">
        <v>748</v>
      </c>
      <c r="L178" s="7">
        <v>26</v>
      </c>
      <c r="M178" s="7" t="s">
        <v>59</v>
      </c>
      <c r="N178" s="10">
        <v>7.6016537428313283E-2</v>
      </c>
      <c r="O178" s="7">
        <v>0.12</v>
      </c>
      <c r="P178" s="7">
        <v>0.24</v>
      </c>
    </row>
    <row r="179" spans="1:16" x14ac:dyDescent="0.15">
      <c r="A179" s="7">
        <v>1175</v>
      </c>
      <c r="B179" s="19">
        <v>45295</v>
      </c>
      <c r="C179" s="7">
        <v>360</v>
      </c>
      <c r="D179" s="19">
        <v>45747</v>
      </c>
      <c r="E179" s="7">
        <v>14</v>
      </c>
      <c r="F179" s="30">
        <v>488412</v>
      </c>
      <c r="G179" s="30">
        <v>444901.29404917243</v>
      </c>
      <c r="H179" s="28">
        <v>508762.5</v>
      </c>
      <c r="I179" s="7">
        <v>96</v>
      </c>
      <c r="J179" s="7" t="s">
        <v>65</v>
      </c>
      <c r="K179" s="7">
        <v>635</v>
      </c>
      <c r="L179" s="7">
        <v>26</v>
      </c>
      <c r="M179" s="7" t="s">
        <v>59</v>
      </c>
      <c r="N179" s="10">
        <v>6.5647009725087691E-2</v>
      </c>
      <c r="O179" s="7">
        <v>0.3</v>
      </c>
      <c r="P179" s="7">
        <v>0.32</v>
      </c>
    </row>
    <row r="180" spans="1:16" x14ac:dyDescent="0.15">
      <c r="A180" s="7">
        <v>1176</v>
      </c>
      <c r="B180" s="19">
        <v>45302</v>
      </c>
      <c r="C180" s="7">
        <v>360</v>
      </c>
      <c r="D180" s="19">
        <v>45747</v>
      </c>
      <c r="E180" s="7">
        <v>14</v>
      </c>
      <c r="F180" s="30">
        <v>402940</v>
      </c>
      <c r="G180" s="30">
        <v>363165.64150769397</v>
      </c>
      <c r="H180" s="28">
        <v>433268.81720430107</v>
      </c>
      <c r="I180" s="7">
        <v>93</v>
      </c>
      <c r="J180" s="7" t="s">
        <v>62</v>
      </c>
      <c r="K180" s="7">
        <v>609</v>
      </c>
      <c r="L180" s="7">
        <v>24</v>
      </c>
      <c r="M180" s="7" t="s">
        <v>59</v>
      </c>
      <c r="N180" s="10">
        <v>7.5854369937412236E-2</v>
      </c>
      <c r="O180" s="7">
        <v>0.25</v>
      </c>
      <c r="P180" s="7">
        <v>0.35</v>
      </c>
    </row>
    <row r="181" spans="1:16" x14ac:dyDescent="0.15">
      <c r="A181" s="7">
        <v>1177</v>
      </c>
      <c r="B181" s="19">
        <v>45472</v>
      </c>
      <c r="C181" s="7">
        <v>360</v>
      </c>
      <c r="D181" s="19">
        <v>45747</v>
      </c>
      <c r="E181" s="7">
        <v>9</v>
      </c>
      <c r="F181" s="30">
        <v>586282</v>
      </c>
      <c r="G181" s="30">
        <v>557657.4301187112</v>
      </c>
      <c r="H181" s="28">
        <v>689743.5294117647</v>
      </c>
      <c r="I181" s="7">
        <v>85</v>
      </c>
      <c r="J181" s="7" t="s">
        <v>63</v>
      </c>
      <c r="K181" s="7">
        <v>719</v>
      </c>
      <c r="L181" s="7">
        <v>45</v>
      </c>
      <c r="M181" s="7" t="s">
        <v>59</v>
      </c>
      <c r="N181" s="10">
        <v>5.092478661781031E-2</v>
      </c>
      <c r="O181" s="7">
        <v>0.12</v>
      </c>
      <c r="P181" s="7">
        <v>0.21</v>
      </c>
    </row>
    <row r="182" spans="1:16" x14ac:dyDescent="0.15">
      <c r="A182" s="7">
        <v>1178</v>
      </c>
      <c r="B182" s="19">
        <v>45369</v>
      </c>
      <c r="C182" s="7">
        <v>360</v>
      </c>
      <c r="D182" s="19">
        <v>45747</v>
      </c>
      <c r="E182" s="7">
        <v>12</v>
      </c>
      <c r="F182" s="30">
        <v>637636</v>
      </c>
      <c r="G182" s="30">
        <v>582555.82264443277</v>
      </c>
      <c r="H182" s="28">
        <v>693082.6086956521</v>
      </c>
      <c r="I182" s="7">
        <v>92</v>
      </c>
      <c r="J182" s="7" t="s">
        <v>70</v>
      </c>
      <c r="K182" s="7">
        <v>687</v>
      </c>
      <c r="L182" s="7">
        <v>29</v>
      </c>
      <c r="M182" s="7" t="s">
        <v>59</v>
      </c>
      <c r="N182" s="10">
        <v>7.799685810125917E-2</v>
      </c>
      <c r="O182" s="7">
        <v>0.25</v>
      </c>
      <c r="P182" s="7">
        <v>0.45</v>
      </c>
    </row>
    <row r="183" spans="1:16" x14ac:dyDescent="0.15">
      <c r="A183" s="7">
        <v>1179</v>
      </c>
      <c r="B183" s="19">
        <v>45423</v>
      </c>
      <c r="C183" s="7">
        <v>360</v>
      </c>
      <c r="D183" s="19">
        <v>45747</v>
      </c>
      <c r="E183" s="7">
        <v>10</v>
      </c>
      <c r="F183" s="30">
        <v>150528</v>
      </c>
      <c r="G183" s="30">
        <v>141798.35107942211</v>
      </c>
      <c r="H183" s="28">
        <v>169132.58426966291</v>
      </c>
      <c r="I183" s="7">
        <v>89</v>
      </c>
      <c r="J183" s="7" t="s">
        <v>70</v>
      </c>
      <c r="K183" s="7">
        <v>757</v>
      </c>
      <c r="L183" s="7">
        <v>11</v>
      </c>
      <c r="M183" s="7" t="s">
        <v>59</v>
      </c>
      <c r="N183" s="10">
        <v>5.6926576767202669E-2</v>
      </c>
      <c r="O183" s="7">
        <v>0.12</v>
      </c>
      <c r="P183" s="7">
        <v>0.36</v>
      </c>
    </row>
    <row r="184" spans="1:16" x14ac:dyDescent="0.15">
      <c r="A184" s="7">
        <v>1180</v>
      </c>
      <c r="B184" s="19">
        <v>45337</v>
      </c>
      <c r="C184" s="7">
        <v>360</v>
      </c>
      <c r="D184" s="19">
        <v>45747</v>
      </c>
      <c r="E184" s="7">
        <v>13</v>
      </c>
      <c r="F184" s="30">
        <v>571107</v>
      </c>
      <c r="G184" s="30">
        <v>528764.14381563512</v>
      </c>
      <c r="H184" s="28">
        <v>607560.63829787239</v>
      </c>
      <c r="I184" s="7">
        <v>94</v>
      </c>
      <c r="J184" s="7" t="s">
        <v>66</v>
      </c>
      <c r="K184" s="7">
        <v>631</v>
      </c>
      <c r="L184" s="7">
        <v>50</v>
      </c>
      <c r="M184" s="7" t="s">
        <v>59</v>
      </c>
      <c r="N184" s="10">
        <v>5.5403139497404955E-2</v>
      </c>
      <c r="O184" s="7">
        <v>0.25</v>
      </c>
      <c r="P184" s="7">
        <v>0.44</v>
      </c>
    </row>
    <row r="185" spans="1:16" x14ac:dyDescent="0.15">
      <c r="A185" s="7">
        <v>1181</v>
      </c>
      <c r="B185" s="19">
        <v>45413</v>
      </c>
      <c r="C185" s="7">
        <v>360</v>
      </c>
      <c r="D185" s="19">
        <v>45747</v>
      </c>
      <c r="E185" s="7">
        <v>10</v>
      </c>
      <c r="F185" s="30">
        <v>573936</v>
      </c>
      <c r="G185" s="30">
        <v>539316.11257187289</v>
      </c>
      <c r="H185" s="28">
        <v>610570.21276595746</v>
      </c>
      <c r="I185" s="7">
        <v>94</v>
      </c>
      <c r="J185" s="7" t="s">
        <v>67</v>
      </c>
      <c r="K185" s="7">
        <v>740</v>
      </c>
      <c r="L185" s="7">
        <v>13</v>
      </c>
      <c r="M185" s="7" t="s">
        <v>59</v>
      </c>
      <c r="N185" s="10">
        <v>6.0567070563704056E-2</v>
      </c>
      <c r="O185" s="7">
        <v>0.25</v>
      </c>
      <c r="P185" s="7">
        <v>0.36</v>
      </c>
    </row>
    <row r="186" spans="1:16" x14ac:dyDescent="0.15">
      <c r="A186" s="7">
        <v>1182</v>
      </c>
      <c r="B186" s="19">
        <v>45295</v>
      </c>
      <c r="C186" s="7">
        <v>360</v>
      </c>
      <c r="D186" s="19">
        <v>45747</v>
      </c>
      <c r="E186" s="7">
        <v>14</v>
      </c>
      <c r="F186" s="30">
        <v>323682</v>
      </c>
      <c r="G186" s="30">
        <v>291660.04799003282</v>
      </c>
      <c r="H186" s="28">
        <v>380802.3529411765</v>
      </c>
      <c r="I186" s="7">
        <v>85</v>
      </c>
      <c r="J186" s="7" t="s">
        <v>64</v>
      </c>
      <c r="K186" s="7">
        <v>743</v>
      </c>
      <c r="L186" s="7">
        <v>36</v>
      </c>
      <c r="M186" s="7" t="s">
        <v>59</v>
      </c>
      <c r="N186" s="10">
        <v>7.60829428903151E-2</v>
      </c>
      <c r="O186" s="7">
        <v>0.12</v>
      </c>
      <c r="P186" s="7">
        <v>0.28999999999999998</v>
      </c>
    </row>
    <row r="187" spans="1:16" x14ac:dyDescent="0.15">
      <c r="A187" s="7">
        <v>1183</v>
      </c>
      <c r="B187" s="19">
        <v>45326</v>
      </c>
      <c r="C187" s="7">
        <v>360</v>
      </c>
      <c r="D187" s="19">
        <v>45747</v>
      </c>
      <c r="E187" s="7">
        <v>13</v>
      </c>
      <c r="F187" s="30">
        <v>636888</v>
      </c>
      <c r="G187" s="30">
        <v>583334.86225837271</v>
      </c>
      <c r="H187" s="28">
        <v>776692.68292682932</v>
      </c>
      <c r="I187" s="7">
        <v>82</v>
      </c>
      <c r="J187" s="7" t="s">
        <v>64</v>
      </c>
      <c r="K187" s="7">
        <v>697</v>
      </c>
      <c r="L187" s="7">
        <v>22</v>
      </c>
      <c r="M187" s="7" t="s">
        <v>59</v>
      </c>
      <c r="N187" s="10">
        <v>6.7231247562707624E-2</v>
      </c>
      <c r="O187" s="7">
        <v>0.12</v>
      </c>
      <c r="P187" s="7">
        <v>0.2</v>
      </c>
    </row>
    <row r="188" spans="1:16" x14ac:dyDescent="0.15">
      <c r="A188" s="7">
        <v>1184</v>
      </c>
      <c r="B188" s="19">
        <v>45430</v>
      </c>
      <c r="C188" s="7">
        <v>360</v>
      </c>
      <c r="D188" s="19">
        <v>45747</v>
      </c>
      <c r="E188" s="7">
        <v>10</v>
      </c>
      <c r="F188" s="30">
        <v>574728</v>
      </c>
      <c r="G188" s="30">
        <v>537493.63566193054</v>
      </c>
      <c r="H188" s="28">
        <v>611412.76595744689</v>
      </c>
      <c r="I188" s="7">
        <v>94</v>
      </c>
      <c r="J188" s="7" t="s">
        <v>65</v>
      </c>
      <c r="K188" s="7">
        <v>638</v>
      </c>
      <c r="L188" s="7">
        <v>40</v>
      </c>
      <c r="M188" s="7" t="s">
        <v>59</v>
      </c>
      <c r="N188" s="10">
        <v>6.7389030396828448E-2</v>
      </c>
      <c r="O188" s="7">
        <v>0.25</v>
      </c>
      <c r="P188" s="7">
        <v>0.24</v>
      </c>
    </row>
    <row r="189" spans="1:16" x14ac:dyDescent="0.15">
      <c r="A189" s="7">
        <v>1185</v>
      </c>
      <c r="B189" s="19">
        <v>45422</v>
      </c>
      <c r="C189" s="7">
        <v>360</v>
      </c>
      <c r="D189" s="19">
        <v>45747</v>
      </c>
      <c r="E189" s="7">
        <v>10</v>
      </c>
      <c r="F189" s="30">
        <v>727108</v>
      </c>
      <c r="G189" s="30">
        <v>686851.28643340862</v>
      </c>
      <c r="H189" s="28">
        <v>799019.78021978016</v>
      </c>
      <c r="I189" s="7">
        <v>91</v>
      </c>
      <c r="J189" s="7" t="s">
        <v>60</v>
      </c>
      <c r="K189" s="7">
        <v>850</v>
      </c>
      <c r="L189" s="7">
        <v>7</v>
      </c>
      <c r="M189" s="7" t="s">
        <v>59</v>
      </c>
      <c r="N189" s="10">
        <v>5.2734205971111267E-2</v>
      </c>
      <c r="O189" s="7">
        <v>0.25</v>
      </c>
      <c r="P189" s="7">
        <v>0.25</v>
      </c>
    </row>
    <row r="190" spans="1:16" x14ac:dyDescent="0.15">
      <c r="A190" s="7">
        <v>1186</v>
      </c>
      <c r="B190" s="19">
        <v>45426</v>
      </c>
      <c r="C190" s="7">
        <v>360</v>
      </c>
      <c r="D190" s="19">
        <v>45747</v>
      </c>
      <c r="E190" s="7">
        <v>10</v>
      </c>
      <c r="F190" s="30">
        <v>380165</v>
      </c>
      <c r="G190" s="30">
        <v>359178.27064739127</v>
      </c>
      <c r="H190" s="28">
        <v>469339.50617283949</v>
      </c>
      <c r="I190" s="7">
        <v>81</v>
      </c>
      <c r="J190" s="7" t="s">
        <v>65</v>
      </c>
      <c r="K190" s="7">
        <v>797</v>
      </c>
      <c r="L190" s="7">
        <v>6</v>
      </c>
      <c r="M190" s="7" t="s">
        <v>59</v>
      </c>
      <c r="N190" s="10">
        <v>5.2473995785414604E-2</v>
      </c>
      <c r="O190" s="7">
        <v>0.12</v>
      </c>
      <c r="P190" s="7">
        <v>0.22</v>
      </c>
    </row>
    <row r="191" spans="1:16" x14ac:dyDescent="0.15">
      <c r="A191" s="7">
        <v>1187</v>
      </c>
      <c r="B191" s="19">
        <v>45313</v>
      </c>
      <c r="C191" s="7">
        <v>360</v>
      </c>
      <c r="D191" s="19">
        <v>45747</v>
      </c>
      <c r="E191" s="7">
        <v>14</v>
      </c>
      <c r="F191" s="30">
        <v>587283</v>
      </c>
      <c r="G191" s="30">
        <v>537244.45451098215</v>
      </c>
      <c r="H191" s="28">
        <v>707569.87951807235</v>
      </c>
      <c r="I191" s="7">
        <v>83</v>
      </c>
      <c r="J191" s="7" t="s">
        <v>68</v>
      </c>
      <c r="K191" s="7">
        <v>638</v>
      </c>
      <c r="L191" s="7">
        <v>24</v>
      </c>
      <c r="M191" s="7" t="s">
        <v>59</v>
      </c>
      <c r="N191" s="10">
        <v>6.1402360886719257E-2</v>
      </c>
      <c r="O191" s="7">
        <v>0.12</v>
      </c>
      <c r="P191" s="7">
        <v>0.41</v>
      </c>
    </row>
    <row r="192" spans="1:16" x14ac:dyDescent="0.15">
      <c r="A192" s="7">
        <v>1188</v>
      </c>
      <c r="B192" s="19">
        <v>45364</v>
      </c>
      <c r="C192" s="7">
        <v>360</v>
      </c>
      <c r="D192" s="19">
        <v>45747</v>
      </c>
      <c r="E192" s="7">
        <v>12</v>
      </c>
      <c r="F192" s="30">
        <v>430504</v>
      </c>
      <c r="G192" s="30">
        <v>393157.35385264864</v>
      </c>
      <c r="H192" s="28">
        <v>478337.77777777775</v>
      </c>
      <c r="I192" s="7">
        <v>90</v>
      </c>
      <c r="J192" s="7" t="s">
        <v>61</v>
      </c>
      <c r="K192" s="7">
        <v>751</v>
      </c>
      <c r="L192" s="7">
        <v>34</v>
      </c>
      <c r="M192" s="7" t="s">
        <v>59</v>
      </c>
      <c r="N192" s="10">
        <v>7.8440869344866646E-2</v>
      </c>
      <c r="O192" s="7">
        <v>0.25</v>
      </c>
      <c r="P192" s="7">
        <v>0.41</v>
      </c>
    </row>
    <row r="193" spans="1:16" x14ac:dyDescent="0.15">
      <c r="A193" s="7">
        <v>1189</v>
      </c>
      <c r="B193" s="19">
        <v>45429</v>
      </c>
      <c r="C193" s="7">
        <v>360</v>
      </c>
      <c r="D193" s="19">
        <v>45747</v>
      </c>
      <c r="E193" s="7">
        <v>10</v>
      </c>
      <c r="F193" s="30">
        <v>574618</v>
      </c>
      <c r="G193" s="30">
        <v>540838.67940336582</v>
      </c>
      <c r="H193" s="28">
        <v>631448.35164835164</v>
      </c>
      <c r="I193" s="7">
        <v>91</v>
      </c>
      <c r="J193" s="7" t="s">
        <v>72</v>
      </c>
      <c r="K193" s="7">
        <v>803</v>
      </c>
      <c r="L193" s="7">
        <v>9</v>
      </c>
      <c r="M193" s="7" t="s">
        <v>59</v>
      </c>
      <c r="N193" s="10">
        <v>5.8173283588298749E-2</v>
      </c>
      <c r="O193" s="7">
        <v>0.25</v>
      </c>
      <c r="P193" s="7">
        <v>0.27</v>
      </c>
    </row>
    <row r="194" spans="1:16" x14ac:dyDescent="0.15">
      <c r="A194" s="7">
        <v>1190</v>
      </c>
      <c r="B194" s="19">
        <v>45292</v>
      </c>
      <c r="C194" s="7">
        <v>360</v>
      </c>
      <c r="D194" s="19">
        <v>45747</v>
      </c>
      <c r="E194" s="7">
        <v>14</v>
      </c>
      <c r="F194" s="30">
        <v>207790</v>
      </c>
      <c r="G194" s="30">
        <v>191432.58703839927</v>
      </c>
      <c r="H194" s="28">
        <v>253402.43902439025</v>
      </c>
      <c r="I194" s="7">
        <v>82</v>
      </c>
      <c r="J194" s="7" t="s">
        <v>73</v>
      </c>
      <c r="K194" s="7">
        <v>748</v>
      </c>
      <c r="L194" s="7">
        <v>50</v>
      </c>
      <c r="M194" s="7" t="s">
        <v>59</v>
      </c>
      <c r="N194" s="10">
        <v>5.4121914041868238E-2</v>
      </c>
      <c r="O194" s="7">
        <v>0.12</v>
      </c>
      <c r="P194" s="7">
        <v>0.34</v>
      </c>
    </row>
    <row r="195" spans="1:16" x14ac:dyDescent="0.15">
      <c r="A195" s="7">
        <v>1191</v>
      </c>
      <c r="B195" s="19">
        <v>45309</v>
      </c>
      <c r="C195" s="7">
        <v>360</v>
      </c>
      <c r="D195" s="19">
        <v>45747</v>
      </c>
      <c r="E195" s="7">
        <v>14</v>
      </c>
      <c r="F195" s="30">
        <v>311777</v>
      </c>
      <c r="G195" s="30">
        <v>287316.74744515377</v>
      </c>
      <c r="H195" s="28">
        <v>366796.4705882353</v>
      </c>
      <c r="I195" s="7">
        <v>85</v>
      </c>
      <c r="J195" s="7" t="s">
        <v>65</v>
      </c>
      <c r="K195" s="7">
        <v>643</v>
      </c>
      <c r="L195" s="7">
        <v>0</v>
      </c>
      <c r="M195" s="7" t="s">
        <v>59</v>
      </c>
      <c r="N195" s="10">
        <v>5.3816839413197377E-2</v>
      </c>
      <c r="O195" s="7">
        <v>0.12</v>
      </c>
      <c r="P195" s="7">
        <v>0.31</v>
      </c>
    </row>
    <row r="196" spans="1:16" x14ac:dyDescent="0.15">
      <c r="A196" s="7">
        <v>1192</v>
      </c>
      <c r="B196" s="19">
        <v>45421</v>
      </c>
      <c r="C196" s="7">
        <v>360</v>
      </c>
      <c r="D196" s="19">
        <v>45747</v>
      </c>
      <c r="E196" s="7">
        <v>10</v>
      </c>
      <c r="F196" s="30">
        <v>676232</v>
      </c>
      <c r="G196" s="30">
        <v>630539.43119104661</v>
      </c>
      <c r="H196" s="28">
        <v>697146.39175257739</v>
      </c>
      <c r="I196" s="7">
        <v>97</v>
      </c>
      <c r="J196" s="7" t="s">
        <v>69</v>
      </c>
      <c r="K196" s="7">
        <v>724</v>
      </c>
      <c r="L196" s="7">
        <v>50</v>
      </c>
      <c r="M196" s="7" t="s">
        <v>59</v>
      </c>
      <c r="N196" s="10">
        <v>7.1542464167423325E-2</v>
      </c>
      <c r="O196" s="7">
        <v>0.35</v>
      </c>
      <c r="P196" s="7">
        <v>0.43</v>
      </c>
    </row>
    <row r="197" spans="1:16" x14ac:dyDescent="0.15">
      <c r="A197" s="7">
        <v>1193</v>
      </c>
      <c r="B197" s="19">
        <v>45377</v>
      </c>
      <c r="C197" s="7">
        <v>360</v>
      </c>
      <c r="D197" s="19">
        <v>45747</v>
      </c>
      <c r="E197" s="7">
        <v>12</v>
      </c>
      <c r="F197" s="30">
        <v>581321</v>
      </c>
      <c r="G197" s="30">
        <v>542795.50424138492</v>
      </c>
      <c r="H197" s="28">
        <v>675954.65116279072</v>
      </c>
      <c r="I197" s="7">
        <v>86</v>
      </c>
      <c r="J197" s="7" t="s">
        <v>69</v>
      </c>
      <c r="K197" s="7">
        <v>765</v>
      </c>
      <c r="L197" s="7">
        <v>42</v>
      </c>
      <c r="M197" s="7" t="s">
        <v>59</v>
      </c>
      <c r="N197" s="10">
        <v>5.2510606243711469E-2</v>
      </c>
      <c r="O197" s="7">
        <v>0.12</v>
      </c>
      <c r="P197" s="7">
        <v>0.4</v>
      </c>
    </row>
    <row r="198" spans="1:16" x14ac:dyDescent="0.15">
      <c r="A198" s="7">
        <v>1194</v>
      </c>
      <c r="B198" s="19">
        <v>45332</v>
      </c>
      <c r="C198" s="7">
        <v>360</v>
      </c>
      <c r="D198" s="19">
        <v>45747</v>
      </c>
      <c r="E198" s="7">
        <v>13</v>
      </c>
      <c r="F198" s="30">
        <v>712151</v>
      </c>
      <c r="G198" s="30">
        <v>650346.47077533952</v>
      </c>
      <c r="H198" s="28">
        <v>890188.75</v>
      </c>
      <c r="I198" s="7">
        <v>80</v>
      </c>
      <c r="J198" s="7" t="s">
        <v>67</v>
      </c>
      <c r="K198" s="7">
        <v>705</v>
      </c>
      <c r="L198" s="7">
        <v>38</v>
      </c>
      <c r="M198" s="7" t="s">
        <v>59</v>
      </c>
      <c r="N198" s="10">
        <v>7.0339239626486236E-2</v>
      </c>
      <c r="O198" s="7">
        <v>0.12</v>
      </c>
      <c r="P198" s="7">
        <v>0.32</v>
      </c>
    </row>
    <row r="199" spans="1:16" x14ac:dyDescent="0.15">
      <c r="A199" s="7">
        <v>1195</v>
      </c>
      <c r="B199" s="19">
        <v>45439</v>
      </c>
      <c r="C199" s="7">
        <v>360</v>
      </c>
      <c r="D199" s="19">
        <v>45747</v>
      </c>
      <c r="E199" s="7">
        <v>10</v>
      </c>
      <c r="F199" s="30">
        <v>569699</v>
      </c>
      <c r="G199" s="30">
        <v>536567.29695620819</v>
      </c>
      <c r="H199" s="28">
        <v>662440.69767441857</v>
      </c>
      <c r="I199" s="7">
        <v>86</v>
      </c>
      <c r="J199" s="7" t="s">
        <v>66</v>
      </c>
      <c r="K199" s="7">
        <v>645</v>
      </c>
      <c r="L199" s="7">
        <v>6</v>
      </c>
      <c r="M199" s="7" t="s">
        <v>59</v>
      </c>
      <c r="N199" s="10">
        <v>5.718369695949873E-2</v>
      </c>
      <c r="O199" s="7">
        <v>0.12</v>
      </c>
      <c r="P199" s="7">
        <v>0.36</v>
      </c>
    </row>
    <row r="200" spans="1:16" x14ac:dyDescent="0.15">
      <c r="A200" s="7">
        <v>1196</v>
      </c>
      <c r="B200" s="19">
        <v>45445</v>
      </c>
      <c r="C200" s="7">
        <v>360</v>
      </c>
      <c r="D200" s="19">
        <v>45747</v>
      </c>
      <c r="E200" s="7">
        <v>9</v>
      </c>
      <c r="F200" s="30">
        <v>140511</v>
      </c>
      <c r="G200" s="30">
        <v>133698.36363518349</v>
      </c>
      <c r="H200" s="28">
        <v>175638.75</v>
      </c>
      <c r="I200" s="7">
        <v>80</v>
      </c>
      <c r="J200" s="7" t="s">
        <v>72</v>
      </c>
      <c r="K200" s="7">
        <v>830</v>
      </c>
      <c r="L200" s="7">
        <v>12</v>
      </c>
      <c r="M200" s="7" t="s">
        <v>59</v>
      </c>
      <c r="N200" s="10">
        <v>5.0310211336051749E-2</v>
      </c>
      <c r="O200" s="7">
        <v>0.12</v>
      </c>
      <c r="P200" s="7">
        <v>0.2</v>
      </c>
    </row>
    <row r="201" spans="1:16" x14ac:dyDescent="0.15">
      <c r="A201" s="7">
        <v>1197</v>
      </c>
      <c r="B201" s="19">
        <v>45462</v>
      </c>
      <c r="C201" s="7">
        <v>360</v>
      </c>
      <c r="D201" s="19">
        <v>45747</v>
      </c>
      <c r="E201" s="7">
        <v>9</v>
      </c>
      <c r="F201" s="30">
        <v>159823</v>
      </c>
      <c r="G201" s="30">
        <v>150607.83196556181</v>
      </c>
      <c r="H201" s="28">
        <v>192557.8313253012</v>
      </c>
      <c r="I201" s="7">
        <v>83</v>
      </c>
      <c r="J201" s="7" t="s">
        <v>71</v>
      </c>
      <c r="K201" s="7">
        <v>763</v>
      </c>
      <c r="L201" s="7">
        <v>5</v>
      </c>
      <c r="M201" s="7" t="s">
        <v>59</v>
      </c>
      <c r="N201" s="10">
        <v>6.6301412665629306E-2</v>
      </c>
      <c r="O201" s="7">
        <v>0.12</v>
      </c>
      <c r="P201" s="7">
        <v>0.27</v>
      </c>
    </row>
    <row r="202" spans="1:16" x14ac:dyDescent="0.15">
      <c r="A202" s="7">
        <v>1198</v>
      </c>
      <c r="B202" s="19">
        <v>45415</v>
      </c>
      <c r="C202" s="7">
        <v>360</v>
      </c>
      <c r="D202" s="19">
        <v>45747</v>
      </c>
      <c r="E202" s="7">
        <v>10</v>
      </c>
      <c r="F202" s="30">
        <v>650262</v>
      </c>
      <c r="G202" s="30">
        <v>611933.11889415013</v>
      </c>
      <c r="H202" s="28">
        <v>677356.25</v>
      </c>
      <c r="I202" s="7">
        <v>96</v>
      </c>
      <c r="J202" s="7" t="s">
        <v>70</v>
      </c>
      <c r="K202" s="7">
        <v>742</v>
      </c>
      <c r="L202" s="7">
        <v>7</v>
      </c>
      <c r="M202" s="7" t="s">
        <v>59</v>
      </c>
      <c r="N202" s="10">
        <v>5.8421120712175104E-2</v>
      </c>
      <c r="O202" s="7">
        <v>0.3</v>
      </c>
      <c r="P202" s="7">
        <v>0.2</v>
      </c>
    </row>
    <row r="203" spans="1:16" x14ac:dyDescent="0.15">
      <c r="A203" s="7">
        <v>1199</v>
      </c>
      <c r="B203" s="19">
        <v>45310</v>
      </c>
      <c r="C203" s="7">
        <v>360</v>
      </c>
      <c r="D203" s="19">
        <v>45747</v>
      </c>
      <c r="E203" s="7">
        <v>14</v>
      </c>
      <c r="F203" s="30">
        <v>129885</v>
      </c>
      <c r="G203" s="30">
        <v>118741.05739366358</v>
      </c>
      <c r="H203" s="28">
        <v>135296.875</v>
      </c>
      <c r="I203" s="7">
        <v>96</v>
      </c>
      <c r="J203" s="7" t="s">
        <v>73</v>
      </c>
      <c r="K203" s="7">
        <v>633</v>
      </c>
      <c r="L203" s="7">
        <v>48</v>
      </c>
      <c r="M203" s="7" t="s">
        <v>59</v>
      </c>
      <c r="N203" s="10">
        <v>6.2058197208916664E-2</v>
      </c>
      <c r="O203" s="7">
        <v>0.3</v>
      </c>
      <c r="P203" s="7">
        <v>0.21</v>
      </c>
    </row>
    <row r="204" spans="1:16" x14ac:dyDescent="0.15">
      <c r="A204" s="7">
        <v>1200</v>
      </c>
      <c r="B204" s="19">
        <v>45295</v>
      </c>
      <c r="C204" s="7">
        <v>360</v>
      </c>
      <c r="D204" s="19">
        <v>45747</v>
      </c>
      <c r="E204" s="7">
        <v>14</v>
      </c>
      <c r="F204" s="30">
        <v>561005</v>
      </c>
      <c r="G204" s="30">
        <v>508156.31737886241</v>
      </c>
      <c r="H204" s="28">
        <v>630342.69662921352</v>
      </c>
      <c r="I204" s="7">
        <v>89</v>
      </c>
      <c r="J204" s="7" t="s">
        <v>65</v>
      </c>
      <c r="K204" s="7">
        <v>717</v>
      </c>
      <c r="L204" s="7">
        <v>38</v>
      </c>
      <c r="M204" s="7" t="s">
        <v>59</v>
      </c>
      <c r="N204" s="10">
        <v>7.1126144754080398E-2</v>
      </c>
      <c r="O204" s="7">
        <v>0.12</v>
      </c>
      <c r="P204" s="7">
        <v>0.27</v>
      </c>
    </row>
    <row r="205" spans="1:16" x14ac:dyDescent="0.15">
      <c r="A205" s="7">
        <v>1201</v>
      </c>
      <c r="B205" s="19">
        <v>45470</v>
      </c>
      <c r="C205" s="7">
        <v>360</v>
      </c>
      <c r="D205" s="19">
        <v>45747</v>
      </c>
      <c r="E205" s="7">
        <v>9</v>
      </c>
      <c r="F205" s="30">
        <v>138602</v>
      </c>
      <c r="G205" s="30">
        <v>131663.53755629354</v>
      </c>
      <c r="H205" s="28">
        <v>147448.93617021278</v>
      </c>
      <c r="I205" s="7">
        <v>94</v>
      </c>
      <c r="J205" s="7" t="s">
        <v>60</v>
      </c>
      <c r="K205" s="7">
        <v>748</v>
      </c>
      <c r="L205" s="7">
        <v>4</v>
      </c>
      <c r="M205" s="7" t="s">
        <v>59</v>
      </c>
      <c r="N205" s="10">
        <v>5.3148297407169996E-2</v>
      </c>
      <c r="O205" s="7">
        <v>0.25</v>
      </c>
      <c r="P205" s="7">
        <v>0.28000000000000003</v>
      </c>
    </row>
    <row r="206" spans="1:16" x14ac:dyDescent="0.15">
      <c r="A206" s="7">
        <v>1202</v>
      </c>
      <c r="B206" s="19">
        <v>45453</v>
      </c>
      <c r="C206" s="7">
        <v>360</v>
      </c>
      <c r="D206" s="19">
        <v>45747</v>
      </c>
      <c r="E206" s="7">
        <v>9</v>
      </c>
      <c r="F206" s="30">
        <v>681459</v>
      </c>
      <c r="G206" s="30">
        <v>646727.87926816021</v>
      </c>
      <c r="H206" s="28">
        <v>821034.93975903618</v>
      </c>
      <c r="I206" s="7">
        <v>83</v>
      </c>
      <c r="J206" s="7" t="s">
        <v>70</v>
      </c>
      <c r="K206" s="7">
        <v>723</v>
      </c>
      <c r="L206" s="7">
        <v>4</v>
      </c>
      <c r="M206" s="7" t="s">
        <v>59</v>
      </c>
      <c r="N206" s="10">
        <v>5.4760451893816356E-2</v>
      </c>
      <c r="O206" s="7">
        <v>0.12</v>
      </c>
      <c r="P206" s="7">
        <v>0.28000000000000003</v>
      </c>
    </row>
    <row r="207" spans="1:16" x14ac:dyDescent="0.15">
      <c r="A207" s="7">
        <v>1203</v>
      </c>
      <c r="B207" s="19">
        <v>45473</v>
      </c>
      <c r="C207" s="7">
        <v>360</v>
      </c>
      <c r="D207" s="19">
        <v>45747</v>
      </c>
      <c r="E207" s="7">
        <v>9</v>
      </c>
      <c r="F207" s="30">
        <v>553633</v>
      </c>
      <c r="G207" s="30">
        <v>521745.75042342278</v>
      </c>
      <c r="H207" s="28">
        <v>659086.90476190473</v>
      </c>
      <c r="I207" s="7">
        <v>84</v>
      </c>
      <c r="J207" s="7" t="s">
        <v>69</v>
      </c>
      <c r="K207" s="7">
        <v>723</v>
      </c>
      <c r="L207" s="7">
        <v>13</v>
      </c>
      <c r="M207" s="7" t="s">
        <v>59</v>
      </c>
      <c r="N207" s="10">
        <v>6.6196860366288274E-2</v>
      </c>
      <c r="O207" s="7">
        <v>0.12</v>
      </c>
      <c r="P207" s="7">
        <v>0.2</v>
      </c>
    </row>
    <row r="208" spans="1:16" x14ac:dyDescent="0.15">
      <c r="A208" s="7">
        <v>1204</v>
      </c>
      <c r="B208" s="19">
        <v>45419</v>
      </c>
      <c r="C208" s="7">
        <v>360</v>
      </c>
      <c r="D208" s="19">
        <v>45747</v>
      </c>
      <c r="E208" s="7">
        <v>10</v>
      </c>
      <c r="F208" s="30">
        <v>663368</v>
      </c>
      <c r="G208" s="30">
        <v>621377.90210514423</v>
      </c>
      <c r="H208" s="28">
        <v>753827.27272727271</v>
      </c>
      <c r="I208" s="7">
        <v>88</v>
      </c>
      <c r="J208" s="7" t="s">
        <v>61</v>
      </c>
      <c r="K208" s="7">
        <v>799</v>
      </c>
      <c r="L208" s="7">
        <v>40</v>
      </c>
      <c r="M208" s="7" t="s">
        <v>59</v>
      </c>
      <c r="N208" s="10">
        <v>6.5139157400342609E-2</v>
      </c>
      <c r="O208" s="7">
        <v>0.12</v>
      </c>
      <c r="P208" s="7">
        <v>0.32</v>
      </c>
    </row>
    <row r="209" spans="1:16" x14ac:dyDescent="0.15">
      <c r="A209" s="7">
        <v>1205</v>
      </c>
      <c r="B209" s="19">
        <v>45333</v>
      </c>
      <c r="C209" s="7">
        <v>360</v>
      </c>
      <c r="D209" s="19">
        <v>45747</v>
      </c>
      <c r="E209" s="7">
        <v>13</v>
      </c>
      <c r="F209" s="30">
        <v>115942</v>
      </c>
      <c r="G209" s="30">
        <v>105217.75797099559</v>
      </c>
      <c r="H209" s="28">
        <v>131752.27272727274</v>
      </c>
      <c r="I209" s="7">
        <v>88</v>
      </c>
      <c r="J209" s="7" t="s">
        <v>71</v>
      </c>
      <c r="K209" s="7">
        <v>724</v>
      </c>
      <c r="L209" s="7">
        <v>19</v>
      </c>
      <c r="M209" s="7" t="s">
        <v>59</v>
      </c>
      <c r="N209" s="10">
        <v>7.6790033704533023E-2</v>
      </c>
      <c r="O209" s="7">
        <v>0.12</v>
      </c>
      <c r="P209" s="7">
        <v>0.44</v>
      </c>
    </row>
    <row r="210" spans="1:16" x14ac:dyDescent="0.15">
      <c r="A210" s="7">
        <v>1206</v>
      </c>
      <c r="B210" s="19">
        <v>45350</v>
      </c>
      <c r="C210" s="7">
        <v>360</v>
      </c>
      <c r="D210" s="19">
        <v>45747</v>
      </c>
      <c r="E210" s="7">
        <v>13</v>
      </c>
      <c r="F210" s="30">
        <v>749809</v>
      </c>
      <c r="G210" s="30">
        <v>684809.54573311319</v>
      </c>
      <c r="H210" s="28">
        <v>842482.02247191011</v>
      </c>
      <c r="I210" s="7">
        <v>89</v>
      </c>
      <c r="J210" s="7" t="s">
        <v>66</v>
      </c>
      <c r="K210" s="7">
        <v>836</v>
      </c>
      <c r="L210" s="7">
        <v>25</v>
      </c>
      <c r="M210" s="7" t="s">
        <v>59</v>
      </c>
      <c r="N210" s="10">
        <v>7.0227471851156423E-2</v>
      </c>
      <c r="O210" s="7">
        <v>0.12</v>
      </c>
      <c r="P210" s="7">
        <v>0.36</v>
      </c>
    </row>
    <row r="211" spans="1:16" x14ac:dyDescent="0.15">
      <c r="A211" s="7">
        <v>1207</v>
      </c>
      <c r="B211" s="19">
        <v>45415</v>
      </c>
      <c r="C211" s="7">
        <v>360</v>
      </c>
      <c r="D211" s="19">
        <v>45747</v>
      </c>
      <c r="E211" s="7">
        <v>10</v>
      </c>
      <c r="F211" s="30">
        <v>317120</v>
      </c>
      <c r="G211" s="30">
        <v>296790.87382283038</v>
      </c>
      <c r="H211" s="28">
        <v>352355.55555555556</v>
      </c>
      <c r="I211" s="7">
        <v>90</v>
      </c>
      <c r="J211" s="7" t="s">
        <v>67</v>
      </c>
      <c r="K211" s="7">
        <v>669</v>
      </c>
      <c r="L211" s="7">
        <v>18</v>
      </c>
      <c r="M211" s="7" t="s">
        <v>59</v>
      </c>
      <c r="N211" s="10">
        <v>6.6362452031863056E-2</v>
      </c>
      <c r="O211" s="7">
        <v>0.25</v>
      </c>
      <c r="P211" s="7">
        <v>0.25</v>
      </c>
    </row>
    <row r="212" spans="1:16" x14ac:dyDescent="0.15">
      <c r="A212" s="7">
        <v>1208</v>
      </c>
      <c r="B212" s="19">
        <v>45371</v>
      </c>
      <c r="C212" s="7">
        <v>360</v>
      </c>
      <c r="D212" s="19">
        <v>45747</v>
      </c>
      <c r="E212" s="7">
        <v>12</v>
      </c>
      <c r="F212" s="30">
        <v>254704</v>
      </c>
      <c r="G212" s="30">
        <v>237852.96291490833</v>
      </c>
      <c r="H212" s="28">
        <v>292763.2183908046</v>
      </c>
      <c r="I212" s="7">
        <v>87</v>
      </c>
      <c r="J212" s="7" t="s">
        <v>72</v>
      </c>
      <c r="K212" s="7">
        <v>798</v>
      </c>
      <c r="L212" s="7">
        <v>48</v>
      </c>
      <c r="M212" s="7" t="s">
        <v>59</v>
      </c>
      <c r="N212" s="10">
        <v>5.2358475973916033E-2</v>
      </c>
      <c r="O212" s="7">
        <v>0.12</v>
      </c>
      <c r="P212" s="7">
        <v>0.28999999999999998</v>
      </c>
    </row>
    <row r="213" spans="1:16" x14ac:dyDescent="0.15">
      <c r="A213" s="7">
        <v>1209</v>
      </c>
      <c r="B213" s="19">
        <v>45355</v>
      </c>
      <c r="C213" s="7">
        <v>360</v>
      </c>
      <c r="D213" s="19">
        <v>45747</v>
      </c>
      <c r="E213" s="7">
        <v>12</v>
      </c>
      <c r="F213" s="30">
        <v>324477</v>
      </c>
      <c r="G213" s="30">
        <v>298717.53311946895</v>
      </c>
      <c r="H213" s="28">
        <v>368723.86363636365</v>
      </c>
      <c r="I213" s="7">
        <v>88</v>
      </c>
      <c r="J213" s="7" t="s">
        <v>66</v>
      </c>
      <c r="K213" s="7">
        <v>749</v>
      </c>
      <c r="L213" s="7">
        <v>42</v>
      </c>
      <c r="M213" s="7" t="s">
        <v>59</v>
      </c>
      <c r="N213" s="10">
        <v>6.9442678290918408E-2</v>
      </c>
      <c r="O213" s="7">
        <v>0.12</v>
      </c>
      <c r="P213" s="7">
        <v>0.26</v>
      </c>
    </row>
    <row r="214" spans="1:16" x14ac:dyDescent="0.15">
      <c r="A214" s="7">
        <v>1210</v>
      </c>
      <c r="B214" s="19">
        <v>45359</v>
      </c>
      <c r="C214" s="7">
        <v>360</v>
      </c>
      <c r="D214" s="19">
        <v>45747</v>
      </c>
      <c r="E214" s="7">
        <v>12</v>
      </c>
      <c r="F214" s="30">
        <v>764303</v>
      </c>
      <c r="G214" s="30">
        <v>698062.15861552849</v>
      </c>
      <c r="H214" s="28">
        <v>899180</v>
      </c>
      <c r="I214" s="7">
        <v>85</v>
      </c>
      <c r="J214" s="7" t="s">
        <v>70</v>
      </c>
      <c r="K214" s="7">
        <v>783</v>
      </c>
      <c r="L214" s="7">
        <v>38</v>
      </c>
      <c r="M214" s="7" t="s">
        <v>59</v>
      </c>
      <c r="N214" s="10">
        <v>7.8341472146295138E-2</v>
      </c>
      <c r="O214" s="7">
        <v>0.12</v>
      </c>
      <c r="P214" s="7">
        <v>0.45</v>
      </c>
    </row>
    <row r="215" spans="1:16" x14ac:dyDescent="0.15">
      <c r="A215" s="7">
        <v>1211</v>
      </c>
      <c r="B215" s="19">
        <v>45301</v>
      </c>
      <c r="C215" s="7">
        <v>360</v>
      </c>
      <c r="D215" s="19">
        <v>45747</v>
      </c>
      <c r="E215" s="7">
        <v>14</v>
      </c>
      <c r="F215" s="30">
        <v>311374</v>
      </c>
      <c r="G215" s="30">
        <v>281982.37771253136</v>
      </c>
      <c r="H215" s="28">
        <v>379724.39024390245</v>
      </c>
      <c r="I215" s="7">
        <v>82</v>
      </c>
      <c r="J215" s="7" t="s">
        <v>68</v>
      </c>
      <c r="K215" s="7">
        <v>623</v>
      </c>
      <c r="L215" s="7">
        <v>15</v>
      </c>
      <c r="M215" s="7" t="s">
        <v>59</v>
      </c>
      <c r="N215" s="10">
        <v>7.1326941073238434E-2</v>
      </c>
      <c r="O215" s="7">
        <v>0.12</v>
      </c>
      <c r="P215" s="7">
        <v>0.21</v>
      </c>
    </row>
    <row r="216" spans="1:16" x14ac:dyDescent="0.15">
      <c r="A216" s="7">
        <v>1212</v>
      </c>
      <c r="B216" s="19">
        <v>45352</v>
      </c>
      <c r="C216" s="7">
        <v>360</v>
      </c>
      <c r="D216" s="19">
        <v>45747</v>
      </c>
      <c r="E216" s="7">
        <v>12</v>
      </c>
      <c r="F216" s="30">
        <v>540365</v>
      </c>
      <c r="G216" s="30">
        <v>497318.92335718143</v>
      </c>
      <c r="H216" s="28">
        <v>643291.66666666674</v>
      </c>
      <c r="I216" s="7">
        <v>84</v>
      </c>
      <c r="J216" s="7" t="s">
        <v>67</v>
      </c>
      <c r="K216" s="7">
        <v>603</v>
      </c>
      <c r="L216" s="7">
        <v>48</v>
      </c>
      <c r="M216" s="7" t="s">
        <v>59</v>
      </c>
      <c r="N216" s="10">
        <v>6.9782527374797135E-2</v>
      </c>
      <c r="O216" s="7">
        <v>0.12</v>
      </c>
      <c r="P216" s="7">
        <v>0.39</v>
      </c>
    </row>
    <row r="217" spans="1:16" x14ac:dyDescent="0.15">
      <c r="A217" s="7">
        <v>1213</v>
      </c>
      <c r="B217" s="19">
        <v>45414</v>
      </c>
      <c r="C217" s="7">
        <v>360</v>
      </c>
      <c r="D217" s="19">
        <v>45747</v>
      </c>
      <c r="E217" s="7">
        <v>10</v>
      </c>
      <c r="F217" s="30">
        <v>527332</v>
      </c>
      <c r="G217" s="30">
        <v>491123.99398575549</v>
      </c>
      <c r="H217" s="28">
        <v>599240.90909090906</v>
      </c>
      <c r="I217" s="7">
        <v>88</v>
      </c>
      <c r="J217" s="7" t="s">
        <v>67</v>
      </c>
      <c r="K217" s="7">
        <v>619</v>
      </c>
      <c r="L217" s="7">
        <v>35</v>
      </c>
      <c r="M217" s="7" t="s">
        <v>59</v>
      </c>
      <c r="N217" s="10">
        <v>7.3155261370931174E-2</v>
      </c>
      <c r="O217" s="7">
        <v>0.12</v>
      </c>
      <c r="P217" s="7">
        <v>0.3</v>
      </c>
    </row>
    <row r="218" spans="1:16" x14ac:dyDescent="0.15">
      <c r="A218" s="7">
        <v>1214</v>
      </c>
      <c r="B218" s="19">
        <v>45376</v>
      </c>
      <c r="C218" s="7">
        <v>360</v>
      </c>
      <c r="D218" s="19">
        <v>45747</v>
      </c>
      <c r="E218" s="7">
        <v>12</v>
      </c>
      <c r="F218" s="30">
        <v>532013</v>
      </c>
      <c r="G218" s="30">
        <v>489526.81298555282</v>
      </c>
      <c r="H218" s="28">
        <v>665016.25</v>
      </c>
      <c r="I218" s="7">
        <v>80</v>
      </c>
      <c r="J218" s="7" t="s">
        <v>69</v>
      </c>
      <c r="K218" s="7">
        <v>793</v>
      </c>
      <c r="L218" s="7">
        <v>35</v>
      </c>
      <c r="M218" s="7" t="s">
        <v>59</v>
      </c>
      <c r="N218" s="10">
        <v>7.002854093097291E-2</v>
      </c>
      <c r="O218" s="7">
        <v>0.12</v>
      </c>
      <c r="P218" s="7">
        <v>0.32</v>
      </c>
    </row>
    <row r="219" spans="1:16" x14ac:dyDescent="0.15">
      <c r="A219" s="7">
        <v>1215</v>
      </c>
      <c r="B219" s="19">
        <v>45450</v>
      </c>
      <c r="C219" s="7">
        <v>360</v>
      </c>
      <c r="D219" s="19">
        <v>45747</v>
      </c>
      <c r="E219" s="7">
        <v>9</v>
      </c>
      <c r="F219" s="30">
        <v>336815</v>
      </c>
      <c r="G219" s="30">
        <v>319067.60581143189</v>
      </c>
      <c r="H219" s="28">
        <v>400970.23809523811</v>
      </c>
      <c r="I219" s="7">
        <v>84</v>
      </c>
      <c r="J219" s="7" t="s">
        <v>68</v>
      </c>
      <c r="K219" s="7">
        <v>834</v>
      </c>
      <c r="L219" s="7">
        <v>33</v>
      </c>
      <c r="M219" s="7" t="s">
        <v>59</v>
      </c>
      <c r="N219" s="10">
        <v>5.7797577869140512E-2</v>
      </c>
      <c r="O219" s="7">
        <v>0.12</v>
      </c>
      <c r="P219" s="7">
        <v>0.39</v>
      </c>
    </row>
    <row r="220" spans="1:16" x14ac:dyDescent="0.15">
      <c r="A220" s="7">
        <v>1216</v>
      </c>
      <c r="B220" s="19">
        <v>45427</v>
      </c>
      <c r="C220" s="7">
        <v>360</v>
      </c>
      <c r="D220" s="19">
        <v>45747</v>
      </c>
      <c r="E220" s="7">
        <v>10</v>
      </c>
      <c r="F220" s="30">
        <v>666357</v>
      </c>
      <c r="G220" s="30">
        <v>620136.83831980149</v>
      </c>
      <c r="H220" s="28">
        <v>774833.72093023255</v>
      </c>
      <c r="I220" s="7">
        <v>86</v>
      </c>
      <c r="J220" s="7" t="s">
        <v>62</v>
      </c>
      <c r="K220" s="7">
        <v>624</v>
      </c>
      <c r="L220" s="7">
        <v>34</v>
      </c>
      <c r="M220" s="7" t="s">
        <v>59</v>
      </c>
      <c r="N220" s="10">
        <v>7.4182411746822857E-2</v>
      </c>
      <c r="O220" s="7">
        <v>0.12</v>
      </c>
      <c r="P220" s="7">
        <v>0.39</v>
      </c>
    </row>
    <row r="221" spans="1:16" x14ac:dyDescent="0.15">
      <c r="A221" s="7">
        <v>1217</v>
      </c>
      <c r="B221" s="19">
        <v>45442</v>
      </c>
      <c r="C221" s="7">
        <v>360</v>
      </c>
      <c r="D221" s="19">
        <v>45747</v>
      </c>
      <c r="E221" s="7">
        <v>10</v>
      </c>
      <c r="F221" s="30">
        <v>630177</v>
      </c>
      <c r="G221" s="30">
        <v>586052.28556138359</v>
      </c>
      <c r="H221" s="28">
        <v>759249.39759036154</v>
      </c>
      <c r="I221" s="7">
        <v>83</v>
      </c>
      <c r="J221" s="7" t="s">
        <v>63</v>
      </c>
      <c r="K221" s="7">
        <v>707</v>
      </c>
      <c r="L221" s="7">
        <v>12</v>
      </c>
      <c r="M221" s="7" t="s">
        <v>59</v>
      </c>
      <c r="N221" s="10">
        <v>7.5143234431250136E-2</v>
      </c>
      <c r="O221" s="7">
        <v>0.12</v>
      </c>
      <c r="P221" s="7">
        <v>0.23</v>
      </c>
    </row>
    <row r="222" spans="1:16" x14ac:dyDescent="0.15">
      <c r="A222" s="7">
        <v>1218</v>
      </c>
      <c r="B222" s="19">
        <v>45293</v>
      </c>
      <c r="C222" s="7">
        <v>360</v>
      </c>
      <c r="D222" s="19">
        <v>45747</v>
      </c>
      <c r="E222" s="7">
        <v>14</v>
      </c>
      <c r="F222" s="30">
        <v>112948</v>
      </c>
      <c r="G222" s="30">
        <v>101540.39842886067</v>
      </c>
      <c r="H222" s="28">
        <v>122769.5652173913</v>
      </c>
      <c r="I222" s="7">
        <v>92</v>
      </c>
      <c r="J222" s="7" t="s">
        <v>74</v>
      </c>
      <c r="K222" s="7">
        <v>652</v>
      </c>
      <c r="L222" s="7">
        <v>46</v>
      </c>
      <c r="M222" s="7" t="s">
        <v>59</v>
      </c>
      <c r="N222" s="10">
        <v>7.8223641572898933E-2</v>
      </c>
      <c r="O222" s="7">
        <v>0.25</v>
      </c>
      <c r="P222" s="7">
        <v>0.32</v>
      </c>
    </row>
    <row r="223" spans="1:16" x14ac:dyDescent="0.15">
      <c r="A223" s="7">
        <v>1219</v>
      </c>
      <c r="B223" s="19">
        <v>45343</v>
      </c>
      <c r="C223" s="7">
        <v>360</v>
      </c>
      <c r="D223" s="19">
        <v>45747</v>
      </c>
      <c r="E223" s="7">
        <v>13</v>
      </c>
      <c r="F223" s="30">
        <v>145501</v>
      </c>
      <c r="G223" s="30">
        <v>131998.338504543</v>
      </c>
      <c r="H223" s="28">
        <v>179630.86419753084</v>
      </c>
      <c r="I223" s="7">
        <v>81</v>
      </c>
      <c r="J223" s="7" t="s">
        <v>73</v>
      </c>
      <c r="K223" s="7">
        <v>624</v>
      </c>
      <c r="L223" s="7">
        <v>30</v>
      </c>
      <c r="M223" s="7" t="s">
        <v>59</v>
      </c>
      <c r="N223" s="10">
        <v>7.7129703956184639E-2</v>
      </c>
      <c r="O223" s="7">
        <v>0.12</v>
      </c>
      <c r="P223" s="7">
        <v>0.38</v>
      </c>
    </row>
    <row r="224" spans="1:16" x14ac:dyDescent="0.15">
      <c r="A224" s="7">
        <v>1220</v>
      </c>
      <c r="B224" s="19">
        <v>45434</v>
      </c>
      <c r="C224" s="7">
        <v>360</v>
      </c>
      <c r="D224" s="19">
        <v>45747</v>
      </c>
      <c r="E224" s="7">
        <v>10</v>
      </c>
      <c r="F224" s="30">
        <v>652562</v>
      </c>
      <c r="G224" s="30">
        <v>610904.96288369363</v>
      </c>
      <c r="H224" s="28">
        <v>709306.52173913037</v>
      </c>
      <c r="I224" s="7">
        <v>92</v>
      </c>
      <c r="J224" s="7" t="s">
        <v>61</v>
      </c>
      <c r="K224" s="7">
        <v>837</v>
      </c>
      <c r="L224" s="7">
        <v>34</v>
      </c>
      <c r="M224" s="7" t="s">
        <v>59</v>
      </c>
      <c r="N224" s="10">
        <v>6.5954961810049936E-2</v>
      </c>
      <c r="O224" s="7">
        <v>0.25</v>
      </c>
      <c r="P224" s="7">
        <v>0.4</v>
      </c>
    </row>
    <row r="225" spans="1:16" x14ac:dyDescent="0.15">
      <c r="A225" s="7">
        <v>1221</v>
      </c>
      <c r="B225" s="19">
        <v>45360</v>
      </c>
      <c r="C225" s="7">
        <v>360</v>
      </c>
      <c r="D225" s="19">
        <v>45747</v>
      </c>
      <c r="E225" s="7">
        <v>12</v>
      </c>
      <c r="F225" s="30">
        <v>741774</v>
      </c>
      <c r="G225" s="30">
        <v>685488.58849129244</v>
      </c>
      <c r="H225" s="28">
        <v>824193.33333333326</v>
      </c>
      <c r="I225" s="7">
        <v>90</v>
      </c>
      <c r="J225" s="7" t="s">
        <v>74</v>
      </c>
      <c r="K225" s="7">
        <v>802</v>
      </c>
      <c r="L225" s="7">
        <v>4</v>
      </c>
      <c r="M225" s="7" t="s">
        <v>59</v>
      </c>
      <c r="N225" s="10">
        <v>6.5039655996027831E-2</v>
      </c>
      <c r="O225" s="7">
        <v>0.25</v>
      </c>
      <c r="P225" s="7">
        <v>0.36</v>
      </c>
    </row>
    <row r="226" spans="1:16" x14ac:dyDescent="0.15">
      <c r="A226" s="7">
        <v>1222</v>
      </c>
      <c r="B226" s="19">
        <v>45378</v>
      </c>
      <c r="C226" s="7">
        <v>360</v>
      </c>
      <c r="D226" s="19">
        <v>45747</v>
      </c>
      <c r="E226" s="7">
        <v>12</v>
      </c>
      <c r="F226" s="30">
        <v>796097</v>
      </c>
      <c r="G226" s="30">
        <v>726761.26637976826</v>
      </c>
      <c r="H226" s="28">
        <v>915054.02298850578</v>
      </c>
      <c r="I226" s="7">
        <v>87</v>
      </c>
      <c r="J226" s="7" t="s">
        <v>68</v>
      </c>
      <c r="K226" s="7">
        <v>764</v>
      </c>
      <c r="L226" s="7">
        <v>44</v>
      </c>
      <c r="M226" s="7" t="s">
        <v>59</v>
      </c>
      <c r="N226" s="10">
        <v>7.8853535559412199E-2</v>
      </c>
      <c r="O226" s="7">
        <v>0.12</v>
      </c>
      <c r="P226" s="7">
        <v>0.36</v>
      </c>
    </row>
    <row r="227" spans="1:16" x14ac:dyDescent="0.15">
      <c r="A227" s="7">
        <v>1223</v>
      </c>
      <c r="B227" s="19">
        <v>45446</v>
      </c>
      <c r="C227" s="7">
        <v>360</v>
      </c>
      <c r="D227" s="19">
        <v>45747</v>
      </c>
      <c r="E227" s="7">
        <v>9</v>
      </c>
      <c r="F227" s="30">
        <v>112219</v>
      </c>
      <c r="G227" s="30">
        <v>105444.97170838533</v>
      </c>
      <c r="H227" s="28">
        <v>126088.76404494382</v>
      </c>
      <c r="I227" s="7">
        <v>89</v>
      </c>
      <c r="J227" s="7" t="s">
        <v>66</v>
      </c>
      <c r="K227" s="7">
        <v>623</v>
      </c>
      <c r="L227" s="7">
        <v>23</v>
      </c>
      <c r="M227" s="7" t="s">
        <v>59</v>
      </c>
      <c r="N227" s="10">
        <v>7.0804632927063918E-2</v>
      </c>
      <c r="O227" s="7">
        <v>0.12</v>
      </c>
      <c r="P227" s="7">
        <v>0.43</v>
      </c>
    </row>
    <row r="228" spans="1:16" x14ac:dyDescent="0.15">
      <c r="A228" s="7">
        <v>1224</v>
      </c>
      <c r="B228" s="19">
        <v>45368</v>
      </c>
      <c r="C228" s="7">
        <v>360</v>
      </c>
      <c r="D228" s="19">
        <v>45747</v>
      </c>
      <c r="E228" s="7">
        <v>12</v>
      </c>
      <c r="F228" s="30">
        <v>398291</v>
      </c>
      <c r="G228" s="30">
        <v>366022.13684471109</v>
      </c>
      <c r="H228" s="28">
        <v>468577.64705882355</v>
      </c>
      <c r="I228" s="7">
        <v>85</v>
      </c>
      <c r="J228" s="7" t="s">
        <v>64</v>
      </c>
      <c r="K228" s="7">
        <v>792</v>
      </c>
      <c r="L228" s="7">
        <v>44</v>
      </c>
      <c r="M228" s="7" t="s">
        <v>59</v>
      </c>
      <c r="N228" s="10">
        <v>7.1462375173903678E-2</v>
      </c>
      <c r="O228" s="7">
        <v>0.12</v>
      </c>
      <c r="P228" s="7">
        <v>0.31</v>
      </c>
    </row>
    <row r="229" spans="1:16" x14ac:dyDescent="0.15">
      <c r="A229" s="7">
        <v>1225</v>
      </c>
      <c r="B229" s="19">
        <v>45353</v>
      </c>
      <c r="C229" s="7">
        <v>360</v>
      </c>
      <c r="D229" s="19">
        <v>45747</v>
      </c>
      <c r="E229" s="7">
        <v>12</v>
      </c>
      <c r="F229" s="30">
        <v>348567</v>
      </c>
      <c r="G229" s="30">
        <v>318473.56434103963</v>
      </c>
      <c r="H229" s="28">
        <v>435708.75</v>
      </c>
      <c r="I229" s="7">
        <v>80</v>
      </c>
      <c r="J229" s="7" t="s">
        <v>68</v>
      </c>
      <c r="K229" s="7">
        <v>689</v>
      </c>
      <c r="L229" s="7">
        <v>2</v>
      </c>
      <c r="M229" s="7" t="s">
        <v>59</v>
      </c>
      <c r="N229" s="10">
        <v>7.7940122286844757E-2</v>
      </c>
      <c r="O229" s="7">
        <v>0.12</v>
      </c>
      <c r="P229" s="7">
        <v>0.27</v>
      </c>
    </row>
    <row r="230" spans="1:16" x14ac:dyDescent="0.15">
      <c r="A230" s="7">
        <v>1226</v>
      </c>
      <c r="B230" s="19">
        <v>45393</v>
      </c>
      <c r="C230" s="7">
        <v>360</v>
      </c>
      <c r="D230" s="19">
        <v>45747</v>
      </c>
      <c r="E230" s="7">
        <v>11</v>
      </c>
      <c r="F230" s="30">
        <v>719278</v>
      </c>
      <c r="G230" s="30">
        <v>662848.26558969845</v>
      </c>
      <c r="H230" s="28">
        <v>799197.77777777775</v>
      </c>
      <c r="I230" s="7">
        <v>90</v>
      </c>
      <c r="J230" s="7" t="s">
        <v>69</v>
      </c>
      <c r="K230" s="7">
        <v>705</v>
      </c>
      <c r="L230" s="7">
        <v>28</v>
      </c>
      <c r="M230" s="7" t="s">
        <v>59</v>
      </c>
      <c r="N230" s="10">
        <v>7.703648181996231E-2</v>
      </c>
      <c r="O230" s="7">
        <v>0.25</v>
      </c>
      <c r="P230" s="7">
        <v>0.2</v>
      </c>
    </row>
    <row r="231" spans="1:16" x14ac:dyDescent="0.15">
      <c r="A231" s="7">
        <v>1227</v>
      </c>
      <c r="B231" s="19">
        <v>45466</v>
      </c>
      <c r="C231" s="7">
        <v>360</v>
      </c>
      <c r="D231" s="19">
        <v>45747</v>
      </c>
      <c r="E231" s="7">
        <v>9</v>
      </c>
      <c r="F231" s="30">
        <v>356777</v>
      </c>
      <c r="G231" s="30">
        <v>339096.45397566649</v>
      </c>
      <c r="H231" s="28">
        <v>375554.73684210528</v>
      </c>
      <c r="I231" s="7">
        <v>95</v>
      </c>
      <c r="J231" s="7" t="s">
        <v>74</v>
      </c>
      <c r="K231" s="7">
        <v>653</v>
      </c>
      <c r="L231" s="7">
        <v>7</v>
      </c>
      <c r="M231" s="7" t="s">
        <v>59</v>
      </c>
      <c r="N231" s="10">
        <v>5.224502381818158E-2</v>
      </c>
      <c r="O231" s="7">
        <v>0.3</v>
      </c>
      <c r="P231" s="7">
        <v>0.33</v>
      </c>
    </row>
    <row r="232" spans="1:16" x14ac:dyDescent="0.15">
      <c r="A232" s="7">
        <v>1228</v>
      </c>
      <c r="B232" s="19">
        <v>45377</v>
      </c>
      <c r="C232" s="7">
        <v>360</v>
      </c>
      <c r="D232" s="19">
        <v>45747</v>
      </c>
      <c r="E232" s="7">
        <v>12</v>
      </c>
      <c r="F232" s="30">
        <v>203028</v>
      </c>
      <c r="G232" s="30">
        <v>186397.27206116484</v>
      </c>
      <c r="H232" s="28">
        <v>247595.12195121954</v>
      </c>
      <c r="I232" s="7">
        <v>82</v>
      </c>
      <c r="J232" s="7" t="s">
        <v>70</v>
      </c>
      <c r="K232" s="7">
        <v>612</v>
      </c>
      <c r="L232" s="7">
        <v>31</v>
      </c>
      <c r="M232" s="7" t="s">
        <v>59</v>
      </c>
      <c r="N232" s="10">
        <v>7.2564268149220415E-2</v>
      </c>
      <c r="O232" s="7">
        <v>0.12</v>
      </c>
      <c r="P232" s="7">
        <v>0.45</v>
      </c>
    </row>
    <row r="233" spans="1:16" x14ac:dyDescent="0.15">
      <c r="A233" s="7">
        <v>1229</v>
      </c>
      <c r="B233" s="19">
        <v>45387</v>
      </c>
      <c r="C233" s="7">
        <v>360</v>
      </c>
      <c r="D233" s="19">
        <v>45747</v>
      </c>
      <c r="E233" s="7">
        <v>11</v>
      </c>
      <c r="F233" s="30">
        <v>517742</v>
      </c>
      <c r="G233" s="30">
        <v>486179.71341850969</v>
      </c>
      <c r="H233" s="28">
        <v>533754.63917525776</v>
      </c>
      <c r="I233" s="7">
        <v>97</v>
      </c>
      <c r="J233" s="7" t="s">
        <v>72</v>
      </c>
      <c r="K233" s="7">
        <v>736</v>
      </c>
      <c r="L233" s="7">
        <v>48</v>
      </c>
      <c r="M233" s="7" t="s">
        <v>59</v>
      </c>
      <c r="N233" s="10">
        <v>5.2821182223337627E-2</v>
      </c>
      <c r="O233" s="7">
        <v>0.35</v>
      </c>
      <c r="P233" s="7">
        <v>0.38</v>
      </c>
    </row>
    <row r="234" spans="1:16" x14ac:dyDescent="0.15">
      <c r="A234" s="7">
        <v>1230</v>
      </c>
      <c r="B234" s="19">
        <v>45305</v>
      </c>
      <c r="C234" s="7">
        <v>360</v>
      </c>
      <c r="D234" s="19">
        <v>45747</v>
      </c>
      <c r="E234" s="7">
        <v>14</v>
      </c>
      <c r="F234" s="30">
        <v>161299</v>
      </c>
      <c r="G234" s="30">
        <v>145349.20258914272</v>
      </c>
      <c r="H234" s="28">
        <v>177251.64835164836</v>
      </c>
      <c r="I234" s="7">
        <v>91</v>
      </c>
      <c r="J234" s="7" t="s">
        <v>64</v>
      </c>
      <c r="K234" s="7">
        <v>740</v>
      </c>
      <c r="L234" s="7">
        <v>20</v>
      </c>
      <c r="M234" s="7" t="s">
        <v>59</v>
      </c>
      <c r="N234" s="10">
        <v>7.6034253238518548E-2</v>
      </c>
      <c r="O234" s="7">
        <v>0.25</v>
      </c>
      <c r="P234" s="7">
        <v>0.36</v>
      </c>
    </row>
    <row r="235" spans="1:16" x14ac:dyDescent="0.15">
      <c r="A235" s="7">
        <v>1231</v>
      </c>
      <c r="B235" s="19">
        <v>45421</v>
      </c>
      <c r="C235" s="7">
        <v>360</v>
      </c>
      <c r="D235" s="19">
        <v>45747</v>
      </c>
      <c r="E235" s="7">
        <v>10</v>
      </c>
      <c r="F235" s="30">
        <v>545565</v>
      </c>
      <c r="G235" s="30">
        <v>506963.64935127518</v>
      </c>
      <c r="H235" s="28">
        <v>665323.17073170736</v>
      </c>
      <c r="I235" s="7">
        <v>82</v>
      </c>
      <c r="J235" s="7" t="s">
        <v>61</v>
      </c>
      <c r="K235" s="7">
        <v>804</v>
      </c>
      <c r="L235" s="7">
        <v>50</v>
      </c>
      <c r="M235" s="7" t="s">
        <v>59</v>
      </c>
      <c r="N235" s="10">
        <v>7.6214296263773282E-2</v>
      </c>
      <c r="O235" s="7">
        <v>0.12</v>
      </c>
      <c r="P235" s="7">
        <v>0.45</v>
      </c>
    </row>
    <row r="236" spans="1:16" x14ac:dyDescent="0.15">
      <c r="A236" s="7">
        <v>1232</v>
      </c>
      <c r="B236" s="19">
        <v>45362</v>
      </c>
      <c r="C236" s="7">
        <v>360</v>
      </c>
      <c r="D236" s="19">
        <v>45747</v>
      </c>
      <c r="E236" s="7">
        <v>12</v>
      </c>
      <c r="F236" s="30">
        <v>250394</v>
      </c>
      <c r="G236" s="30">
        <v>230651.23608804028</v>
      </c>
      <c r="H236" s="28">
        <v>281341.57303370786</v>
      </c>
      <c r="I236" s="7">
        <v>89</v>
      </c>
      <c r="J236" s="7" t="s">
        <v>60</v>
      </c>
      <c r="K236" s="7">
        <v>641</v>
      </c>
      <c r="L236" s="7">
        <v>17</v>
      </c>
      <c r="M236" s="7" t="s">
        <v>59</v>
      </c>
      <c r="N236" s="10">
        <v>6.8769125038083953E-2</v>
      </c>
      <c r="O236" s="7">
        <v>0.12</v>
      </c>
      <c r="P236" s="7">
        <v>0.4</v>
      </c>
    </row>
    <row r="237" spans="1:16" x14ac:dyDescent="0.15">
      <c r="A237" s="7">
        <v>1233</v>
      </c>
      <c r="B237" s="19">
        <v>45424</v>
      </c>
      <c r="C237" s="7">
        <v>360</v>
      </c>
      <c r="D237" s="19">
        <v>45747</v>
      </c>
      <c r="E237" s="7">
        <v>10</v>
      </c>
      <c r="F237" s="30">
        <v>249686</v>
      </c>
      <c r="G237" s="30">
        <v>234637.34827995248</v>
      </c>
      <c r="H237" s="28">
        <v>260089.58333333334</v>
      </c>
      <c r="I237" s="7">
        <v>96</v>
      </c>
      <c r="J237" s="7" t="s">
        <v>71</v>
      </c>
      <c r="K237" s="7">
        <v>844</v>
      </c>
      <c r="L237" s="7">
        <v>11</v>
      </c>
      <c r="M237" s="7" t="s">
        <v>59</v>
      </c>
      <c r="N237" s="10">
        <v>6.0489784384298924E-2</v>
      </c>
      <c r="O237" s="7">
        <v>0.3</v>
      </c>
      <c r="P237" s="7">
        <v>0.43</v>
      </c>
    </row>
    <row r="238" spans="1:16" x14ac:dyDescent="0.15">
      <c r="A238" s="7">
        <v>1234</v>
      </c>
      <c r="B238" s="19">
        <v>45421</v>
      </c>
      <c r="C238" s="7">
        <v>360</v>
      </c>
      <c r="D238" s="19">
        <v>45747</v>
      </c>
      <c r="E238" s="7">
        <v>10</v>
      </c>
      <c r="F238" s="30">
        <v>737577</v>
      </c>
      <c r="G238" s="30">
        <v>696585.94226436387</v>
      </c>
      <c r="H238" s="28">
        <v>801714.13043478259</v>
      </c>
      <c r="I238" s="7">
        <v>92</v>
      </c>
      <c r="J238" s="7" t="s">
        <v>71</v>
      </c>
      <c r="K238" s="7">
        <v>827</v>
      </c>
      <c r="L238" s="7">
        <v>0</v>
      </c>
      <c r="M238" s="7" t="s">
        <v>59</v>
      </c>
      <c r="N238" s="10">
        <v>5.3072172453818192E-2</v>
      </c>
      <c r="O238" s="7">
        <v>0.25</v>
      </c>
      <c r="P238" s="7">
        <v>0.39</v>
      </c>
    </row>
    <row r="239" spans="1:16" x14ac:dyDescent="0.15">
      <c r="A239" s="7">
        <v>1235</v>
      </c>
      <c r="B239" s="19">
        <v>45364</v>
      </c>
      <c r="C239" s="7">
        <v>360</v>
      </c>
      <c r="D239" s="19">
        <v>45747</v>
      </c>
      <c r="E239" s="7">
        <v>12</v>
      </c>
      <c r="F239" s="30">
        <v>472061</v>
      </c>
      <c r="G239" s="30">
        <v>438356.02466624085</v>
      </c>
      <c r="H239" s="28">
        <v>486660.82474226807</v>
      </c>
      <c r="I239" s="7">
        <v>97</v>
      </c>
      <c r="J239" s="7" t="s">
        <v>66</v>
      </c>
      <c r="K239" s="7">
        <v>798</v>
      </c>
      <c r="L239" s="7">
        <v>12</v>
      </c>
      <c r="M239" s="7" t="s">
        <v>59</v>
      </c>
      <c r="N239" s="10">
        <v>5.9290527645669631E-2</v>
      </c>
      <c r="O239" s="7">
        <v>0.35</v>
      </c>
      <c r="P239" s="7">
        <v>0.41</v>
      </c>
    </row>
    <row r="240" spans="1:16" x14ac:dyDescent="0.15">
      <c r="A240" s="7">
        <v>1236</v>
      </c>
      <c r="B240" s="19">
        <v>45415</v>
      </c>
      <c r="C240" s="7">
        <v>360</v>
      </c>
      <c r="D240" s="19">
        <v>45747</v>
      </c>
      <c r="E240" s="7">
        <v>10</v>
      </c>
      <c r="F240" s="30">
        <v>737247</v>
      </c>
      <c r="G240" s="30">
        <v>694233.09613936953</v>
      </c>
      <c r="H240" s="28">
        <v>899081.70731707325</v>
      </c>
      <c r="I240" s="7">
        <v>82</v>
      </c>
      <c r="J240" s="7" t="s">
        <v>72</v>
      </c>
      <c r="K240" s="7">
        <v>630</v>
      </c>
      <c r="L240" s="7">
        <v>43</v>
      </c>
      <c r="M240" s="7" t="s">
        <v>59</v>
      </c>
      <c r="N240" s="10">
        <v>5.7479010329195362E-2</v>
      </c>
      <c r="O240" s="7">
        <v>0.12</v>
      </c>
      <c r="P240" s="7">
        <v>0.21</v>
      </c>
    </row>
    <row r="241" spans="1:16" x14ac:dyDescent="0.15">
      <c r="A241" s="7">
        <v>1237</v>
      </c>
      <c r="B241" s="19">
        <v>45426</v>
      </c>
      <c r="C241" s="7">
        <v>360</v>
      </c>
      <c r="D241" s="19">
        <v>45747</v>
      </c>
      <c r="E241" s="7">
        <v>10</v>
      </c>
      <c r="F241" s="30">
        <v>538847</v>
      </c>
      <c r="G241" s="30">
        <v>499580.79695398506</v>
      </c>
      <c r="H241" s="28">
        <v>649213.2530120482</v>
      </c>
      <c r="I241" s="7">
        <v>83</v>
      </c>
      <c r="J241" s="7" t="s">
        <v>62</v>
      </c>
      <c r="K241" s="7">
        <v>812</v>
      </c>
      <c r="L241" s="7">
        <v>19</v>
      </c>
      <c r="M241" s="7" t="s">
        <v>59</v>
      </c>
      <c r="N241" s="10">
        <v>7.927371484848679E-2</v>
      </c>
      <c r="O241" s="7">
        <v>0.12</v>
      </c>
      <c r="P241" s="7">
        <v>0.2</v>
      </c>
    </row>
    <row r="242" spans="1:16" x14ac:dyDescent="0.15">
      <c r="A242" s="7">
        <v>1238</v>
      </c>
      <c r="B242" s="19">
        <v>45361</v>
      </c>
      <c r="C242" s="7">
        <v>360</v>
      </c>
      <c r="D242" s="19">
        <v>45747</v>
      </c>
      <c r="E242" s="7">
        <v>12</v>
      </c>
      <c r="F242" s="30">
        <v>577919</v>
      </c>
      <c r="G242" s="30">
        <v>540121.7526951161</v>
      </c>
      <c r="H242" s="28">
        <v>595792.78350515466</v>
      </c>
      <c r="I242" s="7">
        <v>97</v>
      </c>
      <c r="J242" s="7" t="s">
        <v>72</v>
      </c>
      <c r="K242" s="7">
        <v>694</v>
      </c>
      <c r="L242" s="7">
        <v>14</v>
      </c>
      <c r="M242" s="7" t="s">
        <v>59</v>
      </c>
      <c r="N242" s="10">
        <v>5.1336511134612628E-2</v>
      </c>
      <c r="O242" s="7">
        <v>0.35</v>
      </c>
      <c r="P242" s="7">
        <v>0.41</v>
      </c>
    </row>
    <row r="243" spans="1:16" x14ac:dyDescent="0.15">
      <c r="A243" s="7">
        <v>1239</v>
      </c>
      <c r="B243" s="19">
        <v>45432</v>
      </c>
      <c r="C243" s="7">
        <v>360</v>
      </c>
      <c r="D243" s="19">
        <v>45747</v>
      </c>
      <c r="E243" s="7">
        <v>10</v>
      </c>
      <c r="F243" s="30">
        <v>417570</v>
      </c>
      <c r="G243" s="30">
        <v>387505.38709801866</v>
      </c>
      <c r="H243" s="28">
        <v>485546.51162790699</v>
      </c>
      <c r="I243" s="7">
        <v>86</v>
      </c>
      <c r="J243" s="7" t="s">
        <v>72</v>
      </c>
      <c r="K243" s="7">
        <v>787</v>
      </c>
      <c r="L243" s="7">
        <v>5</v>
      </c>
      <c r="M243" s="7" t="s">
        <v>59</v>
      </c>
      <c r="N243" s="10">
        <v>7.8017228521582813E-2</v>
      </c>
      <c r="O243" s="7">
        <v>0.12</v>
      </c>
      <c r="P243" s="7">
        <v>0.37</v>
      </c>
    </row>
    <row r="244" spans="1:16" x14ac:dyDescent="0.15">
      <c r="A244" s="7">
        <v>1240</v>
      </c>
      <c r="B244" s="19">
        <v>45339</v>
      </c>
      <c r="C244" s="7">
        <v>360</v>
      </c>
      <c r="D244" s="19">
        <v>45747</v>
      </c>
      <c r="E244" s="7">
        <v>13</v>
      </c>
      <c r="F244" s="30">
        <v>137807</v>
      </c>
      <c r="G244" s="30">
        <v>127925.38123769595</v>
      </c>
      <c r="H244" s="28">
        <v>143548.95833333334</v>
      </c>
      <c r="I244" s="7">
        <v>96</v>
      </c>
      <c r="J244" s="7" t="s">
        <v>73</v>
      </c>
      <c r="K244" s="7">
        <v>622</v>
      </c>
      <c r="L244" s="7">
        <v>23</v>
      </c>
      <c r="M244" s="7" t="s">
        <v>59</v>
      </c>
      <c r="N244" s="10">
        <v>5.2400291525898812E-2</v>
      </c>
      <c r="O244" s="7">
        <v>0.3</v>
      </c>
      <c r="P244" s="7">
        <v>0.4</v>
      </c>
    </row>
    <row r="245" spans="1:16" x14ac:dyDescent="0.15">
      <c r="A245" s="7">
        <v>1241</v>
      </c>
      <c r="B245" s="19">
        <v>45299</v>
      </c>
      <c r="C245" s="7">
        <v>360</v>
      </c>
      <c r="D245" s="19">
        <v>45747</v>
      </c>
      <c r="E245" s="7">
        <v>14</v>
      </c>
      <c r="F245" s="30">
        <v>676897</v>
      </c>
      <c r="G245" s="30">
        <v>612490.29493064329</v>
      </c>
      <c r="H245" s="28">
        <v>796349.4117647059</v>
      </c>
      <c r="I245" s="7">
        <v>85</v>
      </c>
      <c r="J245" s="7" t="s">
        <v>66</v>
      </c>
      <c r="K245" s="7">
        <v>749</v>
      </c>
      <c r="L245" s="7">
        <v>0</v>
      </c>
      <c r="M245" s="7" t="s">
        <v>59</v>
      </c>
      <c r="N245" s="10">
        <v>7.2126148625220945E-2</v>
      </c>
      <c r="O245" s="7">
        <v>0.12</v>
      </c>
      <c r="P245" s="7">
        <v>0.27</v>
      </c>
    </row>
    <row r="246" spans="1:16" x14ac:dyDescent="0.15">
      <c r="A246" s="7">
        <v>1242</v>
      </c>
      <c r="B246" s="19">
        <v>45330</v>
      </c>
      <c r="C246" s="7">
        <v>360</v>
      </c>
      <c r="D246" s="19">
        <v>45747</v>
      </c>
      <c r="E246" s="7">
        <v>13</v>
      </c>
      <c r="F246" s="30">
        <v>355049</v>
      </c>
      <c r="G246" s="30">
        <v>329487.65013941284</v>
      </c>
      <c r="H246" s="28">
        <v>385922.82608695648</v>
      </c>
      <c r="I246" s="7">
        <v>92</v>
      </c>
      <c r="J246" s="7" t="s">
        <v>62</v>
      </c>
      <c r="K246" s="7">
        <v>836</v>
      </c>
      <c r="L246" s="7">
        <v>9</v>
      </c>
      <c r="M246" s="7" t="s">
        <v>59</v>
      </c>
      <c r="N246" s="10">
        <v>5.2757384680535216E-2</v>
      </c>
      <c r="O246" s="7">
        <v>0.25</v>
      </c>
      <c r="P246" s="7">
        <v>0.28999999999999998</v>
      </c>
    </row>
    <row r="247" spans="1:16" x14ac:dyDescent="0.15">
      <c r="A247" s="7">
        <v>1243</v>
      </c>
      <c r="B247" s="19">
        <v>45386</v>
      </c>
      <c r="C247" s="7">
        <v>360</v>
      </c>
      <c r="D247" s="19">
        <v>45747</v>
      </c>
      <c r="E247" s="7">
        <v>11</v>
      </c>
      <c r="F247" s="30">
        <v>591562</v>
      </c>
      <c r="G247" s="30">
        <v>547166.53707297612</v>
      </c>
      <c r="H247" s="28">
        <v>629321.27659574477</v>
      </c>
      <c r="I247" s="7">
        <v>94</v>
      </c>
      <c r="J247" s="7" t="s">
        <v>60</v>
      </c>
      <c r="K247" s="7">
        <v>780</v>
      </c>
      <c r="L247" s="7">
        <v>40</v>
      </c>
      <c r="M247" s="7" t="s">
        <v>59</v>
      </c>
      <c r="N247" s="10">
        <v>7.2511352771020207E-2</v>
      </c>
      <c r="O247" s="7">
        <v>0.25</v>
      </c>
      <c r="P247" s="7">
        <v>0.39</v>
      </c>
    </row>
    <row r="248" spans="1:16" x14ac:dyDescent="0.15">
      <c r="A248" s="7">
        <v>1244</v>
      </c>
      <c r="B248" s="19">
        <v>45450</v>
      </c>
      <c r="C248" s="7">
        <v>360</v>
      </c>
      <c r="D248" s="19">
        <v>45747</v>
      </c>
      <c r="E248" s="7">
        <v>9</v>
      </c>
      <c r="F248" s="30">
        <v>624134</v>
      </c>
      <c r="G248" s="30">
        <v>586475.343944886</v>
      </c>
      <c r="H248" s="28">
        <v>743016.66666666674</v>
      </c>
      <c r="I248" s="7">
        <v>84</v>
      </c>
      <c r="J248" s="7" t="s">
        <v>68</v>
      </c>
      <c r="K248" s="7">
        <v>754</v>
      </c>
      <c r="L248" s="7">
        <v>8</v>
      </c>
      <c r="M248" s="7" t="s">
        <v>59</v>
      </c>
      <c r="N248" s="10">
        <v>7.0760254433221134E-2</v>
      </c>
      <c r="O248" s="7">
        <v>0.12</v>
      </c>
      <c r="P248" s="7">
        <v>0.22</v>
      </c>
    </row>
    <row r="249" spans="1:16" x14ac:dyDescent="0.15">
      <c r="A249" s="7">
        <v>1245</v>
      </c>
      <c r="B249" s="19">
        <v>45467</v>
      </c>
      <c r="C249" s="7">
        <v>360</v>
      </c>
      <c r="D249" s="19">
        <v>45747</v>
      </c>
      <c r="E249" s="7">
        <v>9</v>
      </c>
      <c r="F249" s="30">
        <v>499774</v>
      </c>
      <c r="G249" s="30">
        <v>474243.00023032934</v>
      </c>
      <c r="H249" s="28">
        <v>561543.82022471912</v>
      </c>
      <c r="I249" s="7">
        <v>89</v>
      </c>
      <c r="J249" s="7" t="s">
        <v>61</v>
      </c>
      <c r="K249" s="7">
        <v>822</v>
      </c>
      <c r="L249" s="7">
        <v>11</v>
      </c>
      <c r="M249" s="7" t="s">
        <v>59</v>
      </c>
      <c r="N249" s="10">
        <v>5.497180446470927E-2</v>
      </c>
      <c r="O249" s="7">
        <v>0.12</v>
      </c>
      <c r="P249" s="7">
        <v>0.33</v>
      </c>
    </row>
    <row r="250" spans="1:16" x14ac:dyDescent="0.15">
      <c r="A250" s="7">
        <v>1246</v>
      </c>
      <c r="B250" s="19">
        <v>45406</v>
      </c>
      <c r="C250" s="7">
        <v>360</v>
      </c>
      <c r="D250" s="19">
        <v>45747</v>
      </c>
      <c r="E250" s="7">
        <v>11</v>
      </c>
      <c r="F250" s="30">
        <v>282520</v>
      </c>
      <c r="G250" s="30">
        <v>263406.60069817578</v>
      </c>
      <c r="H250" s="28">
        <v>297389.47368421056</v>
      </c>
      <c r="I250" s="7">
        <v>95</v>
      </c>
      <c r="J250" s="7" t="s">
        <v>72</v>
      </c>
      <c r="K250" s="7">
        <v>848</v>
      </c>
      <c r="L250" s="7">
        <v>30</v>
      </c>
      <c r="M250" s="7" t="s">
        <v>59</v>
      </c>
      <c r="N250" s="10">
        <v>6.2394259206422331E-2</v>
      </c>
      <c r="O250" s="7">
        <v>0.3</v>
      </c>
      <c r="P250" s="7">
        <v>0.41</v>
      </c>
    </row>
    <row r="251" spans="1:16" x14ac:dyDescent="0.15">
      <c r="A251" s="7">
        <v>1247</v>
      </c>
      <c r="B251" s="19">
        <v>45370</v>
      </c>
      <c r="C251" s="7">
        <v>360</v>
      </c>
      <c r="D251" s="19">
        <v>45747</v>
      </c>
      <c r="E251" s="7">
        <v>12</v>
      </c>
      <c r="F251" s="30">
        <v>502459</v>
      </c>
      <c r="G251" s="30">
        <v>465993.66931716562</v>
      </c>
      <c r="H251" s="28">
        <v>528904.21052631584</v>
      </c>
      <c r="I251" s="7">
        <v>95</v>
      </c>
      <c r="J251" s="7" t="s">
        <v>72</v>
      </c>
      <c r="K251" s="7">
        <v>818</v>
      </c>
      <c r="L251" s="7">
        <v>21</v>
      </c>
      <c r="M251" s="7" t="s">
        <v>59</v>
      </c>
      <c r="N251" s="10">
        <v>6.0812035152520628E-2</v>
      </c>
      <c r="O251" s="7">
        <v>0.3</v>
      </c>
      <c r="P251" s="7">
        <v>0.32</v>
      </c>
    </row>
    <row r="252" spans="1:16" x14ac:dyDescent="0.15">
      <c r="A252" s="7">
        <v>1248</v>
      </c>
      <c r="B252" s="19">
        <v>45358</v>
      </c>
      <c r="C252" s="7">
        <v>360</v>
      </c>
      <c r="D252" s="19">
        <v>45747</v>
      </c>
      <c r="E252" s="7">
        <v>12</v>
      </c>
      <c r="F252" s="30">
        <v>752245</v>
      </c>
      <c r="G252" s="30">
        <v>694114.74709182407</v>
      </c>
      <c r="H252" s="28">
        <v>783588.54166666674</v>
      </c>
      <c r="I252" s="7">
        <v>96</v>
      </c>
      <c r="J252" s="7" t="s">
        <v>61</v>
      </c>
      <c r="K252" s="7">
        <v>627</v>
      </c>
      <c r="L252" s="7">
        <v>9</v>
      </c>
      <c r="M252" s="7" t="s">
        <v>59</v>
      </c>
      <c r="N252" s="10">
        <v>6.6801841957601873E-2</v>
      </c>
      <c r="O252" s="7">
        <v>0.3</v>
      </c>
      <c r="P252" s="7">
        <v>0.41</v>
      </c>
    </row>
    <row r="253" spans="1:16" x14ac:dyDescent="0.15">
      <c r="A253" s="7">
        <v>1249</v>
      </c>
      <c r="B253" s="19">
        <v>45313</v>
      </c>
      <c r="C253" s="7">
        <v>360</v>
      </c>
      <c r="D253" s="19">
        <v>45747</v>
      </c>
      <c r="E253" s="7">
        <v>14</v>
      </c>
      <c r="F253" s="30">
        <v>322703</v>
      </c>
      <c r="G253" s="30">
        <v>292544.36240048142</v>
      </c>
      <c r="H253" s="28">
        <v>388798.7951807229</v>
      </c>
      <c r="I253" s="7">
        <v>83</v>
      </c>
      <c r="J253" s="7" t="s">
        <v>67</v>
      </c>
      <c r="K253" s="7">
        <v>767</v>
      </c>
      <c r="L253" s="7">
        <v>37</v>
      </c>
      <c r="M253" s="7" t="s">
        <v>59</v>
      </c>
      <c r="N253" s="10">
        <v>7.0333712485642561E-2</v>
      </c>
      <c r="O253" s="7">
        <v>0.12</v>
      </c>
      <c r="P253" s="7">
        <v>0.45</v>
      </c>
    </row>
    <row r="254" spans="1:16" x14ac:dyDescent="0.15">
      <c r="A254" s="7">
        <v>1250</v>
      </c>
      <c r="B254" s="19">
        <v>45427</v>
      </c>
      <c r="C254" s="7">
        <v>360</v>
      </c>
      <c r="D254" s="19">
        <v>45747</v>
      </c>
      <c r="E254" s="7">
        <v>10</v>
      </c>
      <c r="F254" s="30">
        <v>681875</v>
      </c>
      <c r="G254" s="30">
        <v>638329.13648165402</v>
      </c>
      <c r="H254" s="28">
        <v>811755.95238095243</v>
      </c>
      <c r="I254" s="7">
        <v>84</v>
      </c>
      <c r="J254" s="7" t="s">
        <v>71</v>
      </c>
      <c r="K254" s="7">
        <v>634</v>
      </c>
      <c r="L254" s="7">
        <v>13</v>
      </c>
      <c r="M254" s="7" t="s">
        <v>59</v>
      </c>
      <c r="N254" s="10">
        <v>6.5994039106359759E-2</v>
      </c>
      <c r="O254" s="7">
        <v>0.12</v>
      </c>
      <c r="P254" s="7">
        <v>0.31</v>
      </c>
    </row>
    <row r="255" spans="1:16" x14ac:dyDescent="0.15">
      <c r="A255" s="7">
        <v>1251</v>
      </c>
      <c r="B255" s="19">
        <v>45447</v>
      </c>
      <c r="C255" s="7">
        <v>360</v>
      </c>
      <c r="D255" s="19">
        <v>45747</v>
      </c>
      <c r="E255" s="7">
        <v>9</v>
      </c>
      <c r="F255" s="30">
        <v>355258</v>
      </c>
      <c r="G255" s="30">
        <v>337560.79061259708</v>
      </c>
      <c r="H255" s="28">
        <v>390393.40659340657</v>
      </c>
      <c r="I255" s="7">
        <v>91</v>
      </c>
      <c r="J255" s="7" t="s">
        <v>74</v>
      </c>
      <c r="K255" s="7">
        <v>668</v>
      </c>
      <c r="L255" s="7">
        <v>2</v>
      </c>
      <c r="M255" s="7" t="s">
        <v>59</v>
      </c>
      <c r="N255" s="10">
        <v>5.2709337362232746E-2</v>
      </c>
      <c r="O255" s="7">
        <v>0.25</v>
      </c>
      <c r="P255" s="7">
        <v>0.35</v>
      </c>
    </row>
    <row r="256" spans="1:16" x14ac:dyDescent="0.15">
      <c r="A256" s="7">
        <v>1252</v>
      </c>
      <c r="B256" s="19">
        <v>45322</v>
      </c>
      <c r="C256" s="7">
        <v>360</v>
      </c>
      <c r="D256" s="19">
        <v>45747</v>
      </c>
      <c r="E256" s="7">
        <v>14</v>
      </c>
      <c r="F256" s="30">
        <v>335516</v>
      </c>
      <c r="G256" s="30">
        <v>307204.6588126506</v>
      </c>
      <c r="H256" s="28">
        <v>376984.26966292132</v>
      </c>
      <c r="I256" s="7">
        <v>89</v>
      </c>
      <c r="J256" s="7" t="s">
        <v>70</v>
      </c>
      <c r="K256" s="7">
        <v>687</v>
      </c>
      <c r="L256" s="7">
        <v>5</v>
      </c>
      <c r="M256" s="7" t="s">
        <v>59</v>
      </c>
      <c r="N256" s="10">
        <v>6.0493181337401107E-2</v>
      </c>
      <c r="O256" s="7">
        <v>0.12</v>
      </c>
      <c r="P256" s="7">
        <v>0.4</v>
      </c>
    </row>
    <row r="257" spans="1:16" x14ac:dyDescent="0.15">
      <c r="A257" s="7">
        <v>1253</v>
      </c>
      <c r="B257" s="19">
        <v>45348</v>
      </c>
      <c r="C257" s="7">
        <v>360</v>
      </c>
      <c r="D257" s="19">
        <v>45747</v>
      </c>
      <c r="E257" s="7">
        <v>13</v>
      </c>
      <c r="F257" s="30">
        <v>126848</v>
      </c>
      <c r="G257" s="30">
        <v>117693.81311369715</v>
      </c>
      <c r="H257" s="28">
        <v>158560</v>
      </c>
      <c r="I257" s="7">
        <v>80</v>
      </c>
      <c r="J257" s="7" t="s">
        <v>73</v>
      </c>
      <c r="K257" s="7">
        <v>726</v>
      </c>
      <c r="L257" s="7">
        <v>35</v>
      </c>
      <c r="M257" s="7" t="s">
        <v>59</v>
      </c>
      <c r="N257" s="10">
        <v>5.2971482476714057E-2</v>
      </c>
      <c r="O257" s="7">
        <v>0.12</v>
      </c>
      <c r="P257" s="7">
        <v>0.2</v>
      </c>
    </row>
    <row r="258" spans="1:16" x14ac:dyDescent="0.15">
      <c r="A258" s="7">
        <v>1254</v>
      </c>
      <c r="B258" s="19">
        <v>45402</v>
      </c>
      <c r="C258" s="7">
        <v>360</v>
      </c>
      <c r="D258" s="19">
        <v>45747</v>
      </c>
      <c r="E258" s="7">
        <v>11</v>
      </c>
      <c r="F258" s="30">
        <v>199143</v>
      </c>
      <c r="G258" s="30">
        <v>184727.07338787438</v>
      </c>
      <c r="H258" s="28">
        <v>242857.31707317074</v>
      </c>
      <c r="I258" s="7">
        <v>82</v>
      </c>
      <c r="J258" s="7" t="s">
        <v>67</v>
      </c>
      <c r="K258" s="7">
        <v>630</v>
      </c>
      <c r="L258" s="7">
        <v>22</v>
      </c>
      <c r="M258" s="7" t="s">
        <v>59</v>
      </c>
      <c r="N258" s="10">
        <v>6.8923616249304875E-2</v>
      </c>
      <c r="O258" s="7">
        <v>0.12</v>
      </c>
      <c r="P258" s="7">
        <v>0.36</v>
      </c>
    </row>
    <row r="259" spans="1:16" x14ac:dyDescent="0.15">
      <c r="A259" s="7">
        <v>1255</v>
      </c>
      <c r="B259" s="19">
        <v>45312</v>
      </c>
      <c r="C259" s="7">
        <v>360</v>
      </c>
      <c r="D259" s="19">
        <v>45747</v>
      </c>
      <c r="E259" s="7">
        <v>14</v>
      </c>
      <c r="F259" s="30">
        <v>513887</v>
      </c>
      <c r="G259" s="30">
        <v>466760.22803778475</v>
      </c>
      <c r="H259" s="28">
        <v>604572.9411764706</v>
      </c>
      <c r="I259" s="7">
        <v>85</v>
      </c>
      <c r="J259" s="7" t="s">
        <v>72</v>
      </c>
      <c r="K259" s="7">
        <v>732</v>
      </c>
      <c r="L259" s="7">
        <v>31</v>
      </c>
      <c r="M259" s="7" t="s">
        <v>59</v>
      </c>
      <c r="N259" s="10">
        <v>6.8468106910532803E-2</v>
      </c>
      <c r="O259" s="7">
        <v>0.12</v>
      </c>
      <c r="P259" s="7">
        <v>0.21</v>
      </c>
    </row>
    <row r="260" spans="1:16" x14ac:dyDescent="0.15">
      <c r="A260" s="7">
        <v>1256</v>
      </c>
      <c r="B260" s="19">
        <v>45364</v>
      </c>
      <c r="C260" s="7">
        <v>360</v>
      </c>
      <c r="D260" s="19">
        <v>45747</v>
      </c>
      <c r="E260" s="7">
        <v>12</v>
      </c>
      <c r="F260" s="30">
        <v>570486</v>
      </c>
      <c r="G260" s="30">
        <v>521261.35776362231</v>
      </c>
      <c r="H260" s="28">
        <v>626907.69230769225</v>
      </c>
      <c r="I260" s="7">
        <v>91</v>
      </c>
      <c r="J260" s="7" t="s">
        <v>70</v>
      </c>
      <c r="K260" s="7">
        <v>772</v>
      </c>
      <c r="L260" s="7">
        <v>45</v>
      </c>
      <c r="M260" s="7" t="s">
        <v>59</v>
      </c>
      <c r="N260" s="10">
        <v>7.7880791021910728E-2</v>
      </c>
      <c r="O260" s="7">
        <v>0.25</v>
      </c>
      <c r="P260" s="7">
        <v>0.39</v>
      </c>
    </row>
    <row r="261" spans="1:16" x14ac:dyDescent="0.15">
      <c r="A261" s="7">
        <v>1257</v>
      </c>
      <c r="B261" s="19">
        <v>45364</v>
      </c>
      <c r="C261" s="7">
        <v>360</v>
      </c>
      <c r="D261" s="19">
        <v>45747</v>
      </c>
      <c r="E261" s="7">
        <v>12</v>
      </c>
      <c r="F261" s="30">
        <v>596499</v>
      </c>
      <c r="G261" s="30">
        <v>554021.83900832315</v>
      </c>
      <c r="H261" s="28">
        <v>710117.85714285716</v>
      </c>
      <c r="I261" s="7">
        <v>84</v>
      </c>
      <c r="J261" s="7" t="s">
        <v>71</v>
      </c>
      <c r="K261" s="7">
        <v>841</v>
      </c>
      <c r="L261" s="7">
        <v>18</v>
      </c>
      <c r="M261" s="7" t="s">
        <v>59</v>
      </c>
      <c r="N261" s="10">
        <v>5.9044798532846984E-2</v>
      </c>
      <c r="O261" s="7">
        <v>0.12</v>
      </c>
      <c r="P261" s="7">
        <v>0.24</v>
      </c>
    </row>
    <row r="262" spans="1:16" x14ac:dyDescent="0.15">
      <c r="A262" s="7">
        <v>1258</v>
      </c>
      <c r="B262" s="19">
        <v>45403</v>
      </c>
      <c r="C262" s="7">
        <v>360</v>
      </c>
      <c r="D262" s="19">
        <v>45747</v>
      </c>
      <c r="E262" s="7">
        <v>11</v>
      </c>
      <c r="F262" s="30">
        <v>777526</v>
      </c>
      <c r="G262" s="30">
        <v>718724.07856591092</v>
      </c>
      <c r="H262" s="28">
        <v>809922.91666666674</v>
      </c>
      <c r="I262" s="7">
        <v>96</v>
      </c>
      <c r="J262" s="7" t="s">
        <v>63</v>
      </c>
      <c r="K262" s="7">
        <v>666</v>
      </c>
      <c r="L262" s="7">
        <v>24</v>
      </c>
      <c r="M262" s="7" t="s">
        <v>59</v>
      </c>
      <c r="N262" s="10">
        <v>7.3286313913839218E-2</v>
      </c>
      <c r="O262" s="7">
        <v>0.3</v>
      </c>
      <c r="P262" s="7">
        <v>0.42</v>
      </c>
    </row>
    <row r="263" spans="1:16" x14ac:dyDescent="0.15">
      <c r="A263" s="7">
        <v>1259</v>
      </c>
      <c r="B263" s="19">
        <v>45337</v>
      </c>
      <c r="C263" s="7">
        <v>360</v>
      </c>
      <c r="D263" s="19">
        <v>45747</v>
      </c>
      <c r="E263" s="7">
        <v>13</v>
      </c>
      <c r="F263" s="30">
        <v>420291</v>
      </c>
      <c r="G263" s="30">
        <v>385825.20533246693</v>
      </c>
      <c r="H263" s="28">
        <v>518877.77777777775</v>
      </c>
      <c r="I263" s="7">
        <v>81</v>
      </c>
      <c r="J263" s="7" t="s">
        <v>66</v>
      </c>
      <c r="K263" s="7">
        <v>796</v>
      </c>
      <c r="L263" s="7">
        <v>16</v>
      </c>
      <c r="M263" s="7" t="s">
        <v>59</v>
      </c>
      <c r="N263" s="10">
        <v>6.4807808234053382E-2</v>
      </c>
      <c r="O263" s="7">
        <v>0.12</v>
      </c>
      <c r="P263" s="7">
        <v>0.28999999999999998</v>
      </c>
    </row>
    <row r="264" spans="1:16" x14ac:dyDescent="0.15">
      <c r="A264" s="7">
        <v>1260</v>
      </c>
      <c r="B264" s="19">
        <v>45305</v>
      </c>
      <c r="C264" s="7">
        <v>360</v>
      </c>
      <c r="D264" s="19">
        <v>45747</v>
      </c>
      <c r="E264" s="7">
        <v>14</v>
      </c>
      <c r="F264" s="30">
        <v>667478</v>
      </c>
      <c r="G264" s="30">
        <v>606421.02318328212</v>
      </c>
      <c r="H264" s="28">
        <v>725519.56521739124</v>
      </c>
      <c r="I264" s="7">
        <v>92</v>
      </c>
      <c r="J264" s="7" t="s">
        <v>60</v>
      </c>
      <c r="K264" s="7">
        <v>754</v>
      </c>
      <c r="L264" s="7">
        <v>28</v>
      </c>
      <c r="M264" s="7" t="s">
        <v>59</v>
      </c>
      <c r="N264" s="10">
        <v>6.8219312375750601E-2</v>
      </c>
      <c r="O264" s="7">
        <v>0.25</v>
      </c>
      <c r="P264" s="7">
        <v>0.23</v>
      </c>
    </row>
    <row r="265" spans="1:16" x14ac:dyDescent="0.15">
      <c r="A265" s="7">
        <v>1261</v>
      </c>
      <c r="B265" s="19">
        <v>45439</v>
      </c>
      <c r="C265" s="7">
        <v>360</v>
      </c>
      <c r="D265" s="19">
        <v>45747</v>
      </c>
      <c r="E265" s="7">
        <v>10</v>
      </c>
      <c r="F265" s="30">
        <v>425120</v>
      </c>
      <c r="G265" s="30">
        <v>395195.83911486634</v>
      </c>
      <c r="H265" s="28">
        <v>472355.55555555556</v>
      </c>
      <c r="I265" s="7">
        <v>90</v>
      </c>
      <c r="J265" s="7" t="s">
        <v>67</v>
      </c>
      <c r="K265" s="7">
        <v>706</v>
      </c>
      <c r="L265" s="7">
        <v>24</v>
      </c>
      <c r="M265" s="7" t="s">
        <v>59</v>
      </c>
      <c r="N265" s="10">
        <v>7.5683269987275689E-2</v>
      </c>
      <c r="O265" s="7">
        <v>0.25</v>
      </c>
      <c r="P265" s="7">
        <v>0.3</v>
      </c>
    </row>
    <row r="266" spans="1:16" x14ac:dyDescent="0.15">
      <c r="A266" s="7">
        <v>1262</v>
      </c>
      <c r="B266" s="19">
        <v>45428</v>
      </c>
      <c r="C266" s="7">
        <v>360</v>
      </c>
      <c r="D266" s="19">
        <v>45747</v>
      </c>
      <c r="E266" s="7">
        <v>10</v>
      </c>
      <c r="F266" s="30">
        <v>574142</v>
      </c>
      <c r="G266" s="30">
        <v>542178.67245402653</v>
      </c>
      <c r="H266" s="28">
        <v>637935.5555555555</v>
      </c>
      <c r="I266" s="7">
        <v>90</v>
      </c>
      <c r="J266" s="7" t="s">
        <v>63</v>
      </c>
      <c r="K266" s="7">
        <v>669</v>
      </c>
      <c r="L266" s="7">
        <v>22</v>
      </c>
      <c r="M266" s="7" t="s">
        <v>59</v>
      </c>
      <c r="N266" s="10">
        <v>5.3226922079653634E-2</v>
      </c>
      <c r="O266" s="7">
        <v>0.25</v>
      </c>
      <c r="P266" s="7">
        <v>0.24</v>
      </c>
    </row>
    <row r="267" spans="1:16" x14ac:dyDescent="0.15">
      <c r="A267" s="7">
        <v>1263</v>
      </c>
      <c r="B267" s="19">
        <v>45464</v>
      </c>
      <c r="C267" s="7">
        <v>360</v>
      </c>
      <c r="D267" s="19">
        <v>45747</v>
      </c>
      <c r="E267" s="7">
        <v>9</v>
      </c>
      <c r="F267" s="30">
        <v>677224</v>
      </c>
      <c r="G267" s="30">
        <v>635849.54110277514</v>
      </c>
      <c r="H267" s="28">
        <v>806219.04761904769</v>
      </c>
      <c r="I267" s="7">
        <v>84</v>
      </c>
      <c r="J267" s="7" t="s">
        <v>64</v>
      </c>
      <c r="K267" s="7">
        <v>798</v>
      </c>
      <c r="L267" s="7">
        <v>12</v>
      </c>
      <c r="M267" s="7" t="s">
        <v>59</v>
      </c>
      <c r="N267" s="10">
        <v>7.2005353556856791E-2</v>
      </c>
      <c r="O267" s="7">
        <v>0.12</v>
      </c>
      <c r="P267" s="7">
        <v>0.36</v>
      </c>
    </row>
    <row r="268" spans="1:16" x14ac:dyDescent="0.15">
      <c r="A268" s="7">
        <v>1264</v>
      </c>
      <c r="B268" s="19">
        <v>45323</v>
      </c>
      <c r="C268" s="7">
        <v>360</v>
      </c>
      <c r="D268" s="19">
        <v>45747</v>
      </c>
      <c r="E268" s="7">
        <v>13</v>
      </c>
      <c r="F268" s="30">
        <v>270189</v>
      </c>
      <c r="G268" s="30">
        <v>250414.90286946905</v>
      </c>
      <c r="H268" s="28">
        <v>303583.14606741571</v>
      </c>
      <c r="I268" s="7">
        <v>89</v>
      </c>
      <c r="J268" s="7" t="s">
        <v>63</v>
      </c>
      <c r="K268" s="7">
        <v>702</v>
      </c>
      <c r="L268" s="7">
        <v>26</v>
      </c>
      <c r="M268" s="7" t="s">
        <v>59</v>
      </c>
      <c r="N268" s="10">
        <v>5.4230505654699883E-2</v>
      </c>
      <c r="O268" s="7">
        <v>0.12</v>
      </c>
      <c r="P268" s="7">
        <v>0.43</v>
      </c>
    </row>
    <row r="269" spans="1:16" x14ac:dyDescent="0.15">
      <c r="A269" s="7">
        <v>1265</v>
      </c>
      <c r="B269" s="19">
        <v>45316</v>
      </c>
      <c r="C269" s="7">
        <v>360</v>
      </c>
      <c r="D269" s="19">
        <v>45747</v>
      </c>
      <c r="E269" s="7">
        <v>14</v>
      </c>
      <c r="F269" s="30">
        <v>519624</v>
      </c>
      <c r="G269" s="30">
        <v>477407.6441780951</v>
      </c>
      <c r="H269" s="28">
        <v>633687.80487804883</v>
      </c>
      <c r="I269" s="7">
        <v>82</v>
      </c>
      <c r="J269" s="7" t="s">
        <v>62</v>
      </c>
      <c r="K269" s="7">
        <v>609</v>
      </c>
      <c r="L269" s="7">
        <v>16</v>
      </c>
      <c r="M269" s="7" t="s">
        <v>59</v>
      </c>
      <c r="N269" s="10">
        <v>5.6986457363000689E-2</v>
      </c>
      <c r="O269" s="7">
        <v>0.12</v>
      </c>
      <c r="P269" s="7">
        <v>0.3</v>
      </c>
    </row>
    <row r="270" spans="1:16" x14ac:dyDescent="0.15">
      <c r="A270" s="7">
        <v>1266</v>
      </c>
      <c r="B270" s="19">
        <v>45379</v>
      </c>
      <c r="C270" s="7">
        <v>360</v>
      </c>
      <c r="D270" s="19">
        <v>45747</v>
      </c>
      <c r="E270" s="7">
        <v>12</v>
      </c>
      <c r="F270" s="30">
        <v>576675</v>
      </c>
      <c r="G270" s="30">
        <v>529565.26578469516</v>
      </c>
      <c r="H270" s="28">
        <v>607026.31578947371</v>
      </c>
      <c r="I270" s="7">
        <v>95</v>
      </c>
      <c r="J270" s="7" t="s">
        <v>70</v>
      </c>
      <c r="K270" s="7">
        <v>751</v>
      </c>
      <c r="L270" s="7">
        <v>3</v>
      </c>
      <c r="M270" s="7" t="s">
        <v>59</v>
      </c>
      <c r="N270" s="10">
        <v>7.229209250311866E-2</v>
      </c>
      <c r="O270" s="7">
        <v>0.3</v>
      </c>
      <c r="P270" s="7">
        <v>0.45</v>
      </c>
    </row>
    <row r="271" spans="1:16" x14ac:dyDescent="0.15">
      <c r="A271" s="7">
        <v>1267</v>
      </c>
      <c r="B271" s="19">
        <v>45449</v>
      </c>
      <c r="C271" s="7">
        <v>360</v>
      </c>
      <c r="D271" s="19">
        <v>45747</v>
      </c>
      <c r="E271" s="7">
        <v>9</v>
      </c>
      <c r="F271" s="30">
        <v>472191</v>
      </c>
      <c r="G271" s="30">
        <v>441508.42665895878</v>
      </c>
      <c r="H271" s="28">
        <v>536580.68181818177</v>
      </c>
      <c r="I271" s="7">
        <v>88</v>
      </c>
      <c r="J271" s="7" t="s">
        <v>69</v>
      </c>
      <c r="K271" s="7">
        <v>734</v>
      </c>
      <c r="L271" s="7">
        <v>18</v>
      </c>
      <c r="M271" s="7" t="s">
        <v>59</v>
      </c>
      <c r="N271" s="10">
        <v>7.8306094089986289E-2</v>
      </c>
      <c r="O271" s="7">
        <v>0.12</v>
      </c>
      <c r="P271" s="7">
        <v>0.23</v>
      </c>
    </row>
    <row r="272" spans="1:16" x14ac:dyDescent="0.15">
      <c r="A272" s="7">
        <v>1268</v>
      </c>
      <c r="B272" s="19">
        <v>45414</v>
      </c>
      <c r="C272" s="7">
        <v>360</v>
      </c>
      <c r="D272" s="19">
        <v>45747</v>
      </c>
      <c r="E272" s="7">
        <v>10</v>
      </c>
      <c r="F272" s="30">
        <v>491487</v>
      </c>
      <c r="G272" s="30">
        <v>461393.3990214183</v>
      </c>
      <c r="H272" s="28">
        <v>558507.95454545459</v>
      </c>
      <c r="I272" s="7">
        <v>88</v>
      </c>
      <c r="J272" s="7" t="s">
        <v>72</v>
      </c>
      <c r="K272" s="7">
        <v>660</v>
      </c>
      <c r="L272" s="7">
        <v>4</v>
      </c>
      <c r="M272" s="7" t="s">
        <v>59</v>
      </c>
      <c r="N272" s="10">
        <v>6.1973493864713125E-2</v>
      </c>
      <c r="O272" s="7">
        <v>0.12</v>
      </c>
      <c r="P272" s="7">
        <v>0.3</v>
      </c>
    </row>
    <row r="273" spans="1:16" x14ac:dyDescent="0.15">
      <c r="A273" s="7">
        <v>1269</v>
      </c>
      <c r="B273" s="19">
        <v>45411</v>
      </c>
      <c r="C273" s="7">
        <v>360</v>
      </c>
      <c r="D273" s="19">
        <v>45747</v>
      </c>
      <c r="E273" s="7">
        <v>11</v>
      </c>
      <c r="F273" s="30">
        <v>756555</v>
      </c>
      <c r="G273" s="30">
        <v>705949.05651915714</v>
      </c>
      <c r="H273" s="28">
        <v>813500</v>
      </c>
      <c r="I273" s="7">
        <v>93</v>
      </c>
      <c r="J273" s="7" t="s">
        <v>71</v>
      </c>
      <c r="K273" s="7">
        <v>721</v>
      </c>
      <c r="L273" s="7">
        <v>38</v>
      </c>
      <c r="M273" s="7" t="s">
        <v>59</v>
      </c>
      <c r="N273" s="10">
        <v>6.1324232223888234E-2</v>
      </c>
      <c r="O273" s="7">
        <v>0.25</v>
      </c>
      <c r="P273" s="7">
        <v>0.27</v>
      </c>
    </row>
    <row r="274" spans="1:16" x14ac:dyDescent="0.15">
      <c r="A274" s="7">
        <v>1270</v>
      </c>
      <c r="B274" s="19">
        <v>45297</v>
      </c>
      <c r="C274" s="7">
        <v>360</v>
      </c>
      <c r="D274" s="19">
        <v>45747</v>
      </c>
      <c r="E274" s="7">
        <v>14</v>
      </c>
      <c r="F274" s="30">
        <v>743107</v>
      </c>
      <c r="G274" s="30">
        <v>669210.38667091879</v>
      </c>
      <c r="H274" s="28">
        <v>825674.44444444438</v>
      </c>
      <c r="I274" s="7">
        <v>90</v>
      </c>
      <c r="J274" s="7" t="s">
        <v>69</v>
      </c>
      <c r="K274" s="7">
        <v>801</v>
      </c>
      <c r="L274" s="7">
        <v>41</v>
      </c>
      <c r="M274" s="7" t="s">
        <v>59</v>
      </c>
      <c r="N274" s="10">
        <v>7.6614874180402831E-2</v>
      </c>
      <c r="O274" s="7">
        <v>0.25</v>
      </c>
      <c r="P274" s="7">
        <v>0.23</v>
      </c>
    </row>
    <row r="275" spans="1:16" x14ac:dyDescent="0.15">
      <c r="A275" s="7">
        <v>1271</v>
      </c>
      <c r="B275" s="19">
        <v>45351</v>
      </c>
      <c r="C275" s="7">
        <v>360</v>
      </c>
      <c r="D275" s="19">
        <v>45747</v>
      </c>
      <c r="E275" s="7">
        <v>13</v>
      </c>
      <c r="F275" s="30">
        <v>311905</v>
      </c>
      <c r="G275" s="30">
        <v>286088.68908476463</v>
      </c>
      <c r="H275" s="28">
        <v>362680.23255813954</v>
      </c>
      <c r="I275" s="7">
        <v>86</v>
      </c>
      <c r="J275" s="7" t="s">
        <v>72</v>
      </c>
      <c r="K275" s="7">
        <v>794</v>
      </c>
      <c r="L275" s="7">
        <v>21</v>
      </c>
      <c r="M275" s="7" t="s">
        <v>59</v>
      </c>
      <c r="N275" s="10">
        <v>6.5701833483591945E-2</v>
      </c>
      <c r="O275" s="7">
        <v>0.12</v>
      </c>
      <c r="P275" s="7">
        <v>0.24</v>
      </c>
    </row>
    <row r="276" spans="1:16" x14ac:dyDescent="0.15">
      <c r="A276" s="7">
        <v>1272</v>
      </c>
      <c r="B276" s="19">
        <v>45369</v>
      </c>
      <c r="C276" s="7">
        <v>360</v>
      </c>
      <c r="D276" s="19">
        <v>45747</v>
      </c>
      <c r="E276" s="7">
        <v>12</v>
      </c>
      <c r="F276" s="30">
        <v>133350</v>
      </c>
      <c r="G276" s="30">
        <v>121949.20581305398</v>
      </c>
      <c r="H276" s="28">
        <v>164629.62962962961</v>
      </c>
      <c r="I276" s="7">
        <v>81</v>
      </c>
      <c r="J276" s="7" t="s">
        <v>67</v>
      </c>
      <c r="K276" s="7">
        <v>828</v>
      </c>
      <c r="L276" s="7">
        <v>24</v>
      </c>
      <c r="M276" s="7" t="s">
        <v>59</v>
      </c>
      <c r="N276" s="10">
        <v>7.692756380773752E-2</v>
      </c>
      <c r="O276" s="7">
        <v>0.12</v>
      </c>
      <c r="P276" s="7">
        <v>0.28000000000000003</v>
      </c>
    </row>
    <row r="277" spans="1:16" x14ac:dyDescent="0.15">
      <c r="A277" s="7">
        <v>1273</v>
      </c>
      <c r="B277" s="19">
        <v>45396</v>
      </c>
      <c r="C277" s="7">
        <v>360</v>
      </c>
      <c r="D277" s="19">
        <v>45747</v>
      </c>
      <c r="E277" s="7">
        <v>11</v>
      </c>
      <c r="F277" s="30">
        <v>616667</v>
      </c>
      <c r="G277" s="30">
        <v>577790.78364589915</v>
      </c>
      <c r="H277" s="28">
        <v>717054.65116279072</v>
      </c>
      <c r="I277" s="7">
        <v>86</v>
      </c>
      <c r="J277" s="7" t="s">
        <v>71</v>
      </c>
      <c r="K277" s="7">
        <v>720</v>
      </c>
      <c r="L277" s="7">
        <v>9</v>
      </c>
      <c r="M277" s="7" t="s">
        <v>59</v>
      </c>
      <c r="N277" s="10">
        <v>5.5846821854246761E-2</v>
      </c>
      <c r="O277" s="7">
        <v>0.12</v>
      </c>
      <c r="P277" s="7">
        <v>0.34</v>
      </c>
    </row>
    <row r="278" spans="1:16" x14ac:dyDescent="0.15">
      <c r="A278" s="7">
        <v>1274</v>
      </c>
      <c r="B278" s="19">
        <v>45376</v>
      </c>
      <c r="C278" s="7">
        <v>360</v>
      </c>
      <c r="D278" s="19">
        <v>45747</v>
      </c>
      <c r="E278" s="7">
        <v>12</v>
      </c>
      <c r="F278" s="30">
        <v>485100</v>
      </c>
      <c r="G278" s="30">
        <v>447707.10245257767</v>
      </c>
      <c r="H278" s="28">
        <v>606375</v>
      </c>
      <c r="I278" s="7">
        <v>80</v>
      </c>
      <c r="J278" s="7" t="s">
        <v>74</v>
      </c>
      <c r="K278" s="7">
        <v>808</v>
      </c>
      <c r="L278" s="7">
        <v>8</v>
      </c>
      <c r="M278" s="7" t="s">
        <v>59</v>
      </c>
      <c r="N278" s="10">
        <v>6.6559264535806656E-2</v>
      </c>
      <c r="O278" s="7">
        <v>0.12</v>
      </c>
      <c r="P278" s="7">
        <v>0.32</v>
      </c>
    </row>
    <row r="279" spans="1:16" x14ac:dyDescent="0.15">
      <c r="A279" s="7">
        <v>1275</v>
      </c>
      <c r="B279" s="19">
        <v>45412</v>
      </c>
      <c r="C279" s="7">
        <v>360</v>
      </c>
      <c r="D279" s="19">
        <v>45747</v>
      </c>
      <c r="E279" s="7">
        <v>11</v>
      </c>
      <c r="F279" s="30">
        <v>781207</v>
      </c>
      <c r="G279" s="30">
        <v>722819.33520022186</v>
      </c>
      <c r="H279" s="28">
        <v>941213.2530120482</v>
      </c>
      <c r="I279" s="7">
        <v>83</v>
      </c>
      <c r="J279" s="7" t="s">
        <v>63</v>
      </c>
      <c r="K279" s="7">
        <v>710</v>
      </c>
      <c r="L279" s="7">
        <v>39</v>
      </c>
      <c r="M279" s="7" t="s">
        <v>59</v>
      </c>
      <c r="N279" s="10">
        <v>7.2098848427580534E-2</v>
      </c>
      <c r="O279" s="7">
        <v>0.12</v>
      </c>
      <c r="P279" s="7">
        <v>0.44</v>
      </c>
    </row>
    <row r="280" spans="1:16" x14ac:dyDescent="0.15">
      <c r="A280" s="7">
        <v>1276</v>
      </c>
      <c r="B280" s="19">
        <v>45373</v>
      </c>
      <c r="C280" s="7">
        <v>360</v>
      </c>
      <c r="D280" s="19">
        <v>45747</v>
      </c>
      <c r="E280" s="7">
        <v>12</v>
      </c>
      <c r="F280" s="30">
        <v>343601</v>
      </c>
      <c r="G280" s="30">
        <v>319357.50180476456</v>
      </c>
      <c r="H280" s="28">
        <v>361685.26315789478</v>
      </c>
      <c r="I280" s="7">
        <v>95</v>
      </c>
      <c r="J280" s="7" t="s">
        <v>70</v>
      </c>
      <c r="K280" s="7">
        <v>788</v>
      </c>
      <c r="L280" s="7">
        <v>26</v>
      </c>
      <c r="M280" s="7" t="s">
        <v>59</v>
      </c>
      <c r="N280" s="10">
        <v>5.8191960682383491E-2</v>
      </c>
      <c r="O280" s="7">
        <v>0.3</v>
      </c>
      <c r="P280" s="7">
        <v>0.33</v>
      </c>
    </row>
    <row r="281" spans="1:16" x14ac:dyDescent="0.15">
      <c r="A281" s="7">
        <v>1277</v>
      </c>
      <c r="B281" s="19">
        <v>45302</v>
      </c>
      <c r="C281" s="7">
        <v>360</v>
      </c>
      <c r="D281" s="19">
        <v>45747</v>
      </c>
      <c r="E281" s="7">
        <v>14</v>
      </c>
      <c r="F281" s="30">
        <v>574546</v>
      </c>
      <c r="G281" s="30">
        <v>520124.75595687487</v>
      </c>
      <c r="H281" s="28">
        <v>645557.30337078648</v>
      </c>
      <c r="I281" s="7">
        <v>89</v>
      </c>
      <c r="J281" s="7" t="s">
        <v>70</v>
      </c>
      <c r="K281" s="7">
        <v>630</v>
      </c>
      <c r="L281" s="7">
        <v>42</v>
      </c>
      <c r="M281" s="7" t="s">
        <v>59</v>
      </c>
      <c r="N281" s="10">
        <v>7.1672779692376579E-2</v>
      </c>
      <c r="O281" s="7">
        <v>0.12</v>
      </c>
      <c r="P281" s="7">
        <v>0.25</v>
      </c>
    </row>
    <row r="282" spans="1:16" x14ac:dyDescent="0.15">
      <c r="A282" s="7">
        <v>1278</v>
      </c>
      <c r="B282" s="19">
        <v>45349</v>
      </c>
      <c r="C282" s="7">
        <v>360</v>
      </c>
      <c r="D282" s="19">
        <v>45747</v>
      </c>
      <c r="E282" s="7">
        <v>13</v>
      </c>
      <c r="F282" s="30">
        <v>712429</v>
      </c>
      <c r="G282" s="30">
        <v>648196.05502745416</v>
      </c>
      <c r="H282" s="28">
        <v>774379.34782608692</v>
      </c>
      <c r="I282" s="7">
        <v>92</v>
      </c>
      <c r="J282" s="7" t="s">
        <v>68</v>
      </c>
      <c r="K282" s="7">
        <v>747</v>
      </c>
      <c r="L282" s="7">
        <v>12</v>
      </c>
      <c r="M282" s="7" t="s">
        <v>59</v>
      </c>
      <c r="N282" s="10">
        <v>7.4170339072340039E-2</v>
      </c>
      <c r="O282" s="7">
        <v>0.25</v>
      </c>
      <c r="P282" s="7">
        <v>0.33</v>
      </c>
    </row>
    <row r="283" spans="1:16" x14ac:dyDescent="0.15">
      <c r="A283" s="7">
        <v>1279</v>
      </c>
      <c r="B283" s="19">
        <v>45445</v>
      </c>
      <c r="C283" s="7">
        <v>360</v>
      </c>
      <c r="D283" s="19">
        <v>45747</v>
      </c>
      <c r="E283" s="7">
        <v>9</v>
      </c>
      <c r="F283" s="30">
        <v>416943</v>
      </c>
      <c r="G283" s="30">
        <v>395171.64647497458</v>
      </c>
      <c r="H283" s="28">
        <v>448325.80645161285</v>
      </c>
      <c r="I283" s="7">
        <v>93</v>
      </c>
      <c r="J283" s="7" t="s">
        <v>64</v>
      </c>
      <c r="K283" s="7">
        <v>850</v>
      </c>
      <c r="L283" s="7">
        <v>28</v>
      </c>
      <c r="M283" s="7" t="s">
        <v>59</v>
      </c>
      <c r="N283" s="10">
        <v>5.6965946969636964E-2</v>
      </c>
      <c r="O283" s="7">
        <v>0.25</v>
      </c>
      <c r="P283" s="7">
        <v>0.27</v>
      </c>
    </row>
    <row r="284" spans="1:16" x14ac:dyDescent="0.15">
      <c r="A284" s="7">
        <v>1280</v>
      </c>
      <c r="B284" s="19">
        <v>45337</v>
      </c>
      <c r="C284" s="7">
        <v>360</v>
      </c>
      <c r="D284" s="19">
        <v>45747</v>
      </c>
      <c r="E284" s="7">
        <v>13</v>
      </c>
      <c r="F284" s="30">
        <v>115459</v>
      </c>
      <c r="G284" s="30">
        <v>104461.18723857155</v>
      </c>
      <c r="H284" s="28">
        <v>124149.46236559139</v>
      </c>
      <c r="I284" s="7">
        <v>93</v>
      </c>
      <c r="J284" s="7" t="s">
        <v>67</v>
      </c>
      <c r="K284" s="7">
        <v>803</v>
      </c>
      <c r="L284" s="7">
        <v>47</v>
      </c>
      <c r="M284" s="7" t="s">
        <v>59</v>
      </c>
      <c r="N284" s="10">
        <v>7.9849425391023979E-2</v>
      </c>
      <c r="O284" s="7">
        <v>0.25</v>
      </c>
      <c r="P284" s="7">
        <v>0.25</v>
      </c>
    </row>
    <row r="285" spans="1:16" x14ac:dyDescent="0.15">
      <c r="A285" s="7">
        <v>1281</v>
      </c>
      <c r="B285" s="19">
        <v>45309</v>
      </c>
      <c r="C285" s="7">
        <v>360</v>
      </c>
      <c r="D285" s="19">
        <v>45747</v>
      </c>
      <c r="E285" s="7">
        <v>14</v>
      </c>
      <c r="F285" s="30">
        <v>303880</v>
      </c>
      <c r="G285" s="30">
        <v>273442.35329332814</v>
      </c>
      <c r="H285" s="28">
        <v>366120.48192771088</v>
      </c>
      <c r="I285" s="7">
        <v>83</v>
      </c>
      <c r="J285" s="7" t="s">
        <v>65</v>
      </c>
      <c r="K285" s="7">
        <v>802</v>
      </c>
      <c r="L285" s="7">
        <v>6</v>
      </c>
      <c r="M285" s="7" t="s">
        <v>59</v>
      </c>
      <c r="N285" s="10">
        <v>7.7361106925532747E-2</v>
      </c>
      <c r="O285" s="7">
        <v>0.12</v>
      </c>
      <c r="P285" s="7">
        <v>0.3</v>
      </c>
    </row>
    <row r="286" spans="1:16" x14ac:dyDescent="0.15">
      <c r="A286" s="7">
        <v>1282</v>
      </c>
      <c r="B286" s="19">
        <v>45461</v>
      </c>
      <c r="C286" s="7">
        <v>360</v>
      </c>
      <c r="D286" s="19">
        <v>45747</v>
      </c>
      <c r="E286" s="7">
        <v>9</v>
      </c>
      <c r="F286" s="30">
        <v>306163</v>
      </c>
      <c r="G286" s="30">
        <v>287940.12937128212</v>
      </c>
      <c r="H286" s="28">
        <v>329207.52688172041</v>
      </c>
      <c r="I286" s="7">
        <v>93</v>
      </c>
      <c r="J286" s="7" t="s">
        <v>70</v>
      </c>
      <c r="K286" s="7">
        <v>716</v>
      </c>
      <c r="L286" s="7">
        <v>39</v>
      </c>
      <c r="M286" s="7" t="s">
        <v>59</v>
      </c>
      <c r="N286" s="10">
        <v>6.9408552792162445E-2</v>
      </c>
      <c r="O286" s="7">
        <v>0.25</v>
      </c>
      <c r="P286" s="7">
        <v>0.44</v>
      </c>
    </row>
    <row r="287" spans="1:16" x14ac:dyDescent="0.15">
      <c r="A287" s="7">
        <v>1283</v>
      </c>
      <c r="B287" s="19">
        <v>45353</v>
      </c>
      <c r="C287" s="7">
        <v>360</v>
      </c>
      <c r="D287" s="19">
        <v>45747</v>
      </c>
      <c r="E287" s="7">
        <v>12</v>
      </c>
      <c r="F287" s="30">
        <v>327747</v>
      </c>
      <c r="G287" s="30">
        <v>300545.98948029225</v>
      </c>
      <c r="H287" s="28">
        <v>381101.16279069771</v>
      </c>
      <c r="I287" s="7">
        <v>86</v>
      </c>
      <c r="J287" s="7" t="s">
        <v>64</v>
      </c>
      <c r="K287" s="7">
        <v>738</v>
      </c>
      <c r="L287" s="7">
        <v>33</v>
      </c>
      <c r="M287" s="7" t="s">
        <v>59</v>
      </c>
      <c r="N287" s="10">
        <v>7.3888020631951226E-2</v>
      </c>
      <c r="O287" s="7">
        <v>0.12</v>
      </c>
      <c r="P287" s="7">
        <v>0.36</v>
      </c>
    </row>
    <row r="288" spans="1:16" x14ac:dyDescent="0.15">
      <c r="A288" s="7">
        <v>1284</v>
      </c>
      <c r="B288" s="19">
        <v>45467</v>
      </c>
      <c r="C288" s="7">
        <v>360</v>
      </c>
      <c r="D288" s="19">
        <v>45747</v>
      </c>
      <c r="E288" s="7">
        <v>9</v>
      </c>
      <c r="F288" s="30">
        <v>467077</v>
      </c>
      <c r="G288" s="30">
        <v>436946.40367873874</v>
      </c>
      <c r="H288" s="28">
        <v>569606.0975609757</v>
      </c>
      <c r="I288" s="7">
        <v>82</v>
      </c>
      <c r="J288" s="7" t="s">
        <v>74</v>
      </c>
      <c r="K288" s="7">
        <v>666</v>
      </c>
      <c r="L288" s="7">
        <v>22</v>
      </c>
      <c r="M288" s="7" t="s">
        <v>59</v>
      </c>
      <c r="N288" s="10">
        <v>7.7551029558678305E-2</v>
      </c>
      <c r="O288" s="7">
        <v>0.12</v>
      </c>
      <c r="P288" s="7">
        <v>0.39</v>
      </c>
    </row>
    <row r="289" spans="1:16" x14ac:dyDescent="0.15">
      <c r="A289" s="7">
        <v>1285</v>
      </c>
      <c r="B289" s="19">
        <v>45307</v>
      </c>
      <c r="C289" s="7">
        <v>360</v>
      </c>
      <c r="D289" s="19">
        <v>45747</v>
      </c>
      <c r="E289" s="7">
        <v>14</v>
      </c>
      <c r="F289" s="30">
        <v>340773</v>
      </c>
      <c r="G289" s="30">
        <v>306933.44455641124</v>
      </c>
      <c r="H289" s="28">
        <v>420707.40740740736</v>
      </c>
      <c r="I289" s="7">
        <v>81</v>
      </c>
      <c r="J289" s="7" t="s">
        <v>64</v>
      </c>
      <c r="K289" s="7">
        <v>757</v>
      </c>
      <c r="L289" s="7">
        <v>50</v>
      </c>
      <c r="M289" s="7" t="s">
        <v>59</v>
      </c>
      <c r="N289" s="10">
        <v>7.6469221122282341E-2</v>
      </c>
      <c r="O289" s="7">
        <v>0.12</v>
      </c>
      <c r="P289" s="7">
        <v>0.28000000000000003</v>
      </c>
    </row>
    <row r="290" spans="1:16" x14ac:dyDescent="0.15">
      <c r="A290" s="7">
        <v>1286</v>
      </c>
      <c r="B290" s="19">
        <v>45299</v>
      </c>
      <c r="C290" s="7">
        <v>360</v>
      </c>
      <c r="D290" s="19">
        <v>45747</v>
      </c>
      <c r="E290" s="7">
        <v>14</v>
      </c>
      <c r="F290" s="30">
        <v>560425</v>
      </c>
      <c r="G290" s="30">
        <v>515744.49518401449</v>
      </c>
      <c r="H290" s="28">
        <v>691882.7160493827</v>
      </c>
      <c r="I290" s="7">
        <v>81</v>
      </c>
      <c r="J290" s="7" t="s">
        <v>74</v>
      </c>
      <c r="K290" s="7">
        <v>690</v>
      </c>
      <c r="L290" s="7">
        <v>11</v>
      </c>
      <c r="M290" s="7" t="s">
        <v>59</v>
      </c>
      <c r="N290" s="10">
        <v>5.5268095083952105E-2</v>
      </c>
      <c r="O290" s="7">
        <v>0.12</v>
      </c>
      <c r="P290" s="7">
        <v>0.41</v>
      </c>
    </row>
    <row r="291" spans="1:16" x14ac:dyDescent="0.15">
      <c r="A291" s="7">
        <v>1287</v>
      </c>
      <c r="B291" s="19">
        <v>45377</v>
      </c>
      <c r="C291" s="7">
        <v>360</v>
      </c>
      <c r="D291" s="19">
        <v>45747</v>
      </c>
      <c r="E291" s="7">
        <v>12</v>
      </c>
      <c r="F291" s="30">
        <v>251278</v>
      </c>
      <c r="G291" s="30">
        <v>234229.23126645188</v>
      </c>
      <c r="H291" s="28">
        <v>273128.26086956519</v>
      </c>
      <c r="I291" s="7">
        <v>92</v>
      </c>
      <c r="J291" s="7" t="s">
        <v>73</v>
      </c>
      <c r="K291" s="7">
        <v>717</v>
      </c>
      <c r="L291" s="7">
        <v>29</v>
      </c>
      <c r="M291" s="7" t="s">
        <v>59</v>
      </c>
      <c r="N291" s="10">
        <v>5.4619174927969152E-2</v>
      </c>
      <c r="O291" s="7">
        <v>0.25</v>
      </c>
      <c r="P291" s="7">
        <v>0.36</v>
      </c>
    </row>
    <row r="292" spans="1:16" x14ac:dyDescent="0.15">
      <c r="A292" s="7">
        <v>1288</v>
      </c>
      <c r="B292" s="19">
        <v>45454</v>
      </c>
      <c r="C292" s="7">
        <v>360</v>
      </c>
      <c r="D292" s="19">
        <v>45747</v>
      </c>
      <c r="E292" s="7">
        <v>9</v>
      </c>
      <c r="F292" s="30">
        <v>608175</v>
      </c>
      <c r="G292" s="30">
        <v>568920.62280982663</v>
      </c>
      <c r="H292" s="28">
        <v>683342.69662921352</v>
      </c>
      <c r="I292" s="7">
        <v>89</v>
      </c>
      <c r="J292" s="7" t="s">
        <v>61</v>
      </c>
      <c r="K292" s="7">
        <v>817</v>
      </c>
      <c r="L292" s="7">
        <v>2</v>
      </c>
      <c r="M292" s="7" t="s">
        <v>59</v>
      </c>
      <c r="N292" s="10">
        <v>7.7608416297466787E-2</v>
      </c>
      <c r="O292" s="7">
        <v>0.12</v>
      </c>
      <c r="P292" s="7">
        <v>0.34</v>
      </c>
    </row>
    <row r="293" spans="1:16" x14ac:dyDescent="0.15">
      <c r="A293" s="7">
        <v>1289</v>
      </c>
      <c r="B293" s="19">
        <v>45326</v>
      </c>
      <c r="C293" s="7">
        <v>360</v>
      </c>
      <c r="D293" s="19">
        <v>45747</v>
      </c>
      <c r="E293" s="7">
        <v>13</v>
      </c>
      <c r="F293" s="30">
        <v>458351</v>
      </c>
      <c r="G293" s="30">
        <v>417329.30371403851</v>
      </c>
      <c r="H293" s="28">
        <v>520853.40909090912</v>
      </c>
      <c r="I293" s="7">
        <v>88</v>
      </c>
      <c r="J293" s="7" t="s">
        <v>60</v>
      </c>
      <c r="K293" s="7">
        <v>742</v>
      </c>
      <c r="L293" s="7">
        <v>47</v>
      </c>
      <c r="M293" s="7" t="s">
        <v>59</v>
      </c>
      <c r="N293" s="10">
        <v>7.3423231701198549E-2</v>
      </c>
      <c r="O293" s="7">
        <v>0.12</v>
      </c>
      <c r="P293" s="7">
        <v>0.31</v>
      </c>
    </row>
    <row r="294" spans="1:16" x14ac:dyDescent="0.15">
      <c r="A294" s="7">
        <v>1290</v>
      </c>
      <c r="B294" s="19">
        <v>45324</v>
      </c>
      <c r="C294" s="7">
        <v>360</v>
      </c>
      <c r="D294" s="19">
        <v>45747</v>
      </c>
      <c r="E294" s="7">
        <v>13</v>
      </c>
      <c r="F294" s="30">
        <v>363684</v>
      </c>
      <c r="G294" s="30">
        <v>336146.33917568607</v>
      </c>
      <c r="H294" s="28">
        <v>391058.06451612903</v>
      </c>
      <c r="I294" s="7">
        <v>93</v>
      </c>
      <c r="J294" s="7" t="s">
        <v>65</v>
      </c>
      <c r="K294" s="7">
        <v>732</v>
      </c>
      <c r="L294" s="7">
        <v>38</v>
      </c>
      <c r="M294" s="7" t="s">
        <v>59</v>
      </c>
      <c r="N294" s="10">
        <v>5.7323348382608635E-2</v>
      </c>
      <c r="O294" s="7">
        <v>0.25</v>
      </c>
      <c r="P294" s="7">
        <v>0.43</v>
      </c>
    </row>
    <row r="295" spans="1:16" x14ac:dyDescent="0.15">
      <c r="A295" s="7">
        <v>1291</v>
      </c>
      <c r="B295" s="19">
        <v>45339</v>
      </c>
      <c r="C295" s="7">
        <v>360</v>
      </c>
      <c r="D295" s="19">
        <v>45747</v>
      </c>
      <c r="E295" s="7">
        <v>13</v>
      </c>
      <c r="F295" s="30">
        <v>569382</v>
      </c>
      <c r="G295" s="30">
        <v>523716.46158284292</v>
      </c>
      <c r="H295" s="28">
        <v>686002.40963855421</v>
      </c>
      <c r="I295" s="7">
        <v>83</v>
      </c>
      <c r="J295" s="7" t="s">
        <v>66</v>
      </c>
      <c r="K295" s="7">
        <v>678</v>
      </c>
      <c r="L295" s="7">
        <v>24</v>
      </c>
      <c r="M295" s="7" t="s">
        <v>59</v>
      </c>
      <c r="N295" s="10">
        <v>6.268761981018503E-2</v>
      </c>
      <c r="O295" s="7">
        <v>0.12</v>
      </c>
      <c r="P295" s="7">
        <v>0.37</v>
      </c>
    </row>
    <row r="296" spans="1:16" x14ac:dyDescent="0.15">
      <c r="A296" s="7">
        <v>1292</v>
      </c>
      <c r="B296" s="19">
        <v>45382</v>
      </c>
      <c r="C296" s="7">
        <v>360</v>
      </c>
      <c r="D296" s="19">
        <v>45747</v>
      </c>
      <c r="E296" s="7">
        <v>12</v>
      </c>
      <c r="F296" s="30">
        <v>578007</v>
      </c>
      <c r="G296" s="30">
        <v>529412.86995875998</v>
      </c>
      <c r="H296" s="28">
        <v>713588.88888888888</v>
      </c>
      <c r="I296" s="7">
        <v>81</v>
      </c>
      <c r="J296" s="7" t="s">
        <v>60</v>
      </c>
      <c r="K296" s="7">
        <v>651</v>
      </c>
      <c r="L296" s="7">
        <v>6</v>
      </c>
      <c r="M296" s="7" t="s">
        <v>59</v>
      </c>
      <c r="N296" s="10">
        <v>7.5202101897482818E-2</v>
      </c>
      <c r="O296" s="7">
        <v>0.12</v>
      </c>
      <c r="P296" s="7">
        <v>0.32</v>
      </c>
    </row>
    <row r="297" spans="1:16" x14ac:dyDescent="0.15">
      <c r="A297" s="7">
        <v>1293</v>
      </c>
      <c r="B297" s="19">
        <v>45373</v>
      </c>
      <c r="C297" s="7">
        <v>360</v>
      </c>
      <c r="D297" s="19">
        <v>45747</v>
      </c>
      <c r="E297" s="7">
        <v>12</v>
      </c>
      <c r="F297" s="30">
        <v>630287</v>
      </c>
      <c r="G297" s="30">
        <v>575374.03299232689</v>
      </c>
      <c r="H297" s="28">
        <v>649780.41237113404</v>
      </c>
      <c r="I297" s="7">
        <v>97</v>
      </c>
      <c r="J297" s="7" t="s">
        <v>74</v>
      </c>
      <c r="K297" s="7">
        <v>711</v>
      </c>
      <c r="L297" s="7">
        <v>49</v>
      </c>
      <c r="M297" s="7" t="s">
        <v>59</v>
      </c>
      <c r="N297" s="10">
        <v>7.888854235353121E-2</v>
      </c>
      <c r="O297" s="7">
        <v>0.35</v>
      </c>
      <c r="P297" s="7">
        <v>0.31</v>
      </c>
    </row>
    <row r="298" spans="1:16" x14ac:dyDescent="0.15">
      <c r="A298" s="7">
        <v>1294</v>
      </c>
      <c r="B298" s="19">
        <v>45315</v>
      </c>
      <c r="C298" s="7">
        <v>360</v>
      </c>
      <c r="D298" s="19">
        <v>45747</v>
      </c>
      <c r="E298" s="7">
        <v>14</v>
      </c>
      <c r="F298" s="30">
        <v>285950</v>
      </c>
      <c r="G298" s="30">
        <v>260513.74237898894</v>
      </c>
      <c r="H298" s="28">
        <v>357437.5</v>
      </c>
      <c r="I298" s="7">
        <v>80</v>
      </c>
      <c r="J298" s="7" t="s">
        <v>63</v>
      </c>
      <c r="K298" s="7">
        <v>648</v>
      </c>
      <c r="L298" s="7">
        <v>48</v>
      </c>
      <c r="M298" s="7" t="s">
        <v>59</v>
      </c>
      <c r="N298" s="10">
        <v>6.5503397856925091E-2</v>
      </c>
      <c r="O298" s="7">
        <v>0.12</v>
      </c>
      <c r="P298" s="7">
        <v>0.26</v>
      </c>
    </row>
    <row r="299" spans="1:16" x14ac:dyDescent="0.15">
      <c r="A299" s="7">
        <v>1295</v>
      </c>
      <c r="B299" s="19">
        <v>45408</v>
      </c>
      <c r="C299" s="7">
        <v>360</v>
      </c>
      <c r="D299" s="19">
        <v>45747</v>
      </c>
      <c r="E299" s="7">
        <v>11</v>
      </c>
      <c r="F299" s="30">
        <v>158761</v>
      </c>
      <c r="G299" s="30">
        <v>146110.68986811198</v>
      </c>
      <c r="H299" s="28">
        <v>198451.25</v>
      </c>
      <c r="I299" s="7">
        <v>80</v>
      </c>
      <c r="J299" s="7" t="s">
        <v>62</v>
      </c>
      <c r="K299" s="7">
        <v>600</v>
      </c>
      <c r="L299" s="7">
        <v>15</v>
      </c>
      <c r="M299" s="7" t="s">
        <v>59</v>
      </c>
      <c r="N299" s="10">
        <v>7.8650231028113859E-2</v>
      </c>
      <c r="O299" s="7">
        <v>0.12</v>
      </c>
      <c r="P299" s="7">
        <v>0.4</v>
      </c>
    </row>
    <row r="300" spans="1:16" x14ac:dyDescent="0.15">
      <c r="A300" s="7">
        <v>1296</v>
      </c>
      <c r="B300" s="19">
        <v>45379</v>
      </c>
      <c r="C300" s="7">
        <v>360</v>
      </c>
      <c r="D300" s="19">
        <v>45747</v>
      </c>
      <c r="E300" s="7">
        <v>12</v>
      </c>
      <c r="F300" s="30">
        <v>202680</v>
      </c>
      <c r="G300" s="30">
        <v>188313.72472150921</v>
      </c>
      <c r="H300" s="28">
        <v>227730.33707865168</v>
      </c>
      <c r="I300" s="7">
        <v>89</v>
      </c>
      <c r="J300" s="7" t="s">
        <v>66</v>
      </c>
      <c r="K300" s="7">
        <v>832</v>
      </c>
      <c r="L300" s="7">
        <v>17</v>
      </c>
      <c r="M300" s="7" t="s">
        <v>59</v>
      </c>
      <c r="N300" s="10">
        <v>5.8615697960616921E-2</v>
      </c>
      <c r="O300" s="7">
        <v>0.12</v>
      </c>
      <c r="P300" s="7">
        <v>0.35</v>
      </c>
    </row>
    <row r="301" spans="1:16" x14ac:dyDescent="0.15">
      <c r="A301" s="7">
        <v>1297</v>
      </c>
      <c r="B301" s="19">
        <v>45294</v>
      </c>
      <c r="C301" s="7">
        <v>360</v>
      </c>
      <c r="D301" s="19">
        <v>45747</v>
      </c>
      <c r="E301" s="7">
        <v>14</v>
      </c>
      <c r="F301" s="30">
        <v>253612</v>
      </c>
      <c r="G301" s="30">
        <v>231798.80111775402</v>
      </c>
      <c r="H301" s="28">
        <v>281791.11111111112</v>
      </c>
      <c r="I301" s="7">
        <v>90</v>
      </c>
      <c r="J301" s="7" t="s">
        <v>72</v>
      </c>
      <c r="K301" s="7">
        <v>740</v>
      </c>
      <c r="L301" s="7">
        <v>31</v>
      </c>
      <c r="M301" s="7" t="s">
        <v>59</v>
      </c>
      <c r="N301" s="10">
        <v>6.2290917552317721E-2</v>
      </c>
      <c r="O301" s="7">
        <v>0.25</v>
      </c>
      <c r="P301" s="7">
        <v>0.39</v>
      </c>
    </row>
    <row r="302" spans="1:16" x14ac:dyDescent="0.15">
      <c r="A302" s="7">
        <v>1298</v>
      </c>
      <c r="B302" s="19">
        <v>45354</v>
      </c>
      <c r="C302" s="7">
        <v>360</v>
      </c>
      <c r="D302" s="19">
        <v>45747</v>
      </c>
      <c r="E302" s="7">
        <v>12</v>
      </c>
      <c r="F302" s="30">
        <v>790362</v>
      </c>
      <c r="G302" s="30">
        <v>733008.25571219937</v>
      </c>
      <c r="H302" s="28">
        <v>952243.37349397596</v>
      </c>
      <c r="I302" s="7">
        <v>83</v>
      </c>
      <c r="J302" s="7" t="s">
        <v>66</v>
      </c>
      <c r="K302" s="7">
        <v>706</v>
      </c>
      <c r="L302" s="7">
        <v>39</v>
      </c>
      <c r="M302" s="7" t="s">
        <v>59</v>
      </c>
      <c r="N302" s="10">
        <v>6.0802583780218945E-2</v>
      </c>
      <c r="O302" s="7">
        <v>0.12</v>
      </c>
      <c r="P302" s="7">
        <v>0.24</v>
      </c>
    </row>
    <row r="303" spans="1:16" x14ac:dyDescent="0.15">
      <c r="A303" s="7">
        <v>1299</v>
      </c>
      <c r="B303" s="19">
        <v>45347</v>
      </c>
      <c r="C303" s="7">
        <v>360</v>
      </c>
      <c r="D303" s="19">
        <v>45747</v>
      </c>
      <c r="E303" s="7">
        <v>13</v>
      </c>
      <c r="F303" s="30">
        <v>505015</v>
      </c>
      <c r="G303" s="30">
        <v>459629.31743613101</v>
      </c>
      <c r="H303" s="28">
        <v>526057.29166666674</v>
      </c>
      <c r="I303" s="7">
        <v>96</v>
      </c>
      <c r="J303" s="7" t="s">
        <v>66</v>
      </c>
      <c r="K303" s="7">
        <v>768</v>
      </c>
      <c r="L303" s="7">
        <v>37</v>
      </c>
      <c r="M303" s="7" t="s">
        <v>59</v>
      </c>
      <c r="N303" s="10">
        <v>7.3842760486016623E-2</v>
      </c>
      <c r="O303" s="7">
        <v>0.3</v>
      </c>
      <c r="P303" s="7">
        <v>0.4</v>
      </c>
    </row>
    <row r="304" spans="1:16" x14ac:dyDescent="0.15">
      <c r="A304" s="7">
        <v>1300</v>
      </c>
      <c r="B304" s="19">
        <v>45434</v>
      </c>
      <c r="C304" s="7">
        <v>360</v>
      </c>
      <c r="D304" s="19">
        <v>45747</v>
      </c>
      <c r="E304" s="7">
        <v>10</v>
      </c>
      <c r="F304" s="30">
        <v>458261</v>
      </c>
      <c r="G304" s="30">
        <v>429899.93103557423</v>
      </c>
      <c r="H304" s="28">
        <v>514900</v>
      </c>
      <c r="I304" s="7">
        <v>89</v>
      </c>
      <c r="J304" s="7" t="s">
        <v>73</v>
      </c>
      <c r="K304" s="7">
        <v>681</v>
      </c>
      <c r="L304" s="7">
        <v>46</v>
      </c>
      <c r="M304" s="7" t="s">
        <v>59</v>
      </c>
      <c r="N304" s="10">
        <v>6.2986475197022621E-2</v>
      </c>
      <c r="O304" s="7">
        <v>0.12</v>
      </c>
      <c r="P304" s="7">
        <v>0.31</v>
      </c>
    </row>
    <row r="305" spans="1:16" x14ac:dyDescent="0.15">
      <c r="A305" s="7">
        <v>1301</v>
      </c>
      <c r="B305" s="19">
        <v>45443</v>
      </c>
      <c r="C305" s="7">
        <v>360</v>
      </c>
      <c r="D305" s="19">
        <v>45747</v>
      </c>
      <c r="E305" s="7">
        <v>10</v>
      </c>
      <c r="F305" s="30">
        <v>265568</v>
      </c>
      <c r="G305" s="30">
        <v>246601.79670040088</v>
      </c>
      <c r="H305" s="28">
        <v>273781.44329896907</v>
      </c>
      <c r="I305" s="7">
        <v>97</v>
      </c>
      <c r="J305" s="7" t="s">
        <v>61</v>
      </c>
      <c r="K305" s="7">
        <v>775</v>
      </c>
      <c r="L305" s="7">
        <v>17</v>
      </c>
      <c r="M305" s="7" t="s">
        <v>59</v>
      </c>
      <c r="N305" s="10">
        <v>7.7176062215927446E-2</v>
      </c>
      <c r="O305" s="7">
        <v>0.35</v>
      </c>
      <c r="P305" s="7">
        <v>0.45</v>
      </c>
    </row>
    <row r="306" spans="1:16" x14ac:dyDescent="0.15">
      <c r="A306" s="7">
        <v>1302</v>
      </c>
      <c r="B306" s="19">
        <v>45471</v>
      </c>
      <c r="C306" s="7">
        <v>360</v>
      </c>
      <c r="D306" s="19">
        <v>45747</v>
      </c>
      <c r="E306" s="7">
        <v>9</v>
      </c>
      <c r="F306" s="30">
        <v>230227</v>
      </c>
      <c r="G306" s="30">
        <v>216828.23278349181</v>
      </c>
      <c r="H306" s="28">
        <v>264628.7356321839</v>
      </c>
      <c r="I306" s="7">
        <v>87</v>
      </c>
      <c r="J306" s="7" t="s">
        <v>69</v>
      </c>
      <c r="K306" s="7">
        <v>810</v>
      </c>
      <c r="L306" s="7">
        <v>22</v>
      </c>
      <c r="M306" s="7" t="s">
        <v>59</v>
      </c>
      <c r="N306" s="10">
        <v>6.7206031627532956E-2</v>
      </c>
      <c r="O306" s="7">
        <v>0.12</v>
      </c>
      <c r="P306" s="7">
        <v>0.44</v>
      </c>
    </row>
    <row r="307" spans="1:16" x14ac:dyDescent="0.15">
      <c r="A307" s="7">
        <v>1303</v>
      </c>
      <c r="B307" s="19">
        <v>45342</v>
      </c>
      <c r="C307" s="7">
        <v>360</v>
      </c>
      <c r="D307" s="19">
        <v>45747</v>
      </c>
      <c r="E307" s="7">
        <v>13</v>
      </c>
      <c r="F307" s="30">
        <v>766665</v>
      </c>
      <c r="G307" s="30">
        <v>704140.67976498394</v>
      </c>
      <c r="H307" s="28">
        <v>923692.77108433738</v>
      </c>
      <c r="I307" s="7">
        <v>83</v>
      </c>
      <c r="J307" s="7" t="s">
        <v>74</v>
      </c>
      <c r="K307" s="7">
        <v>732</v>
      </c>
      <c r="L307" s="7">
        <v>34</v>
      </c>
      <c r="M307" s="7" t="s">
        <v>59</v>
      </c>
      <c r="N307" s="10">
        <v>6.4279281305714933E-2</v>
      </c>
      <c r="O307" s="7">
        <v>0.12</v>
      </c>
      <c r="P307" s="7">
        <v>0.2</v>
      </c>
    </row>
    <row r="308" spans="1:16" x14ac:dyDescent="0.15">
      <c r="A308" s="7">
        <v>1304</v>
      </c>
      <c r="B308" s="19">
        <v>45473</v>
      </c>
      <c r="C308" s="7">
        <v>360</v>
      </c>
      <c r="D308" s="19">
        <v>45747</v>
      </c>
      <c r="E308" s="7">
        <v>9</v>
      </c>
      <c r="F308" s="30">
        <v>662199</v>
      </c>
      <c r="G308" s="30">
        <v>619534.30677841965</v>
      </c>
      <c r="H308" s="28">
        <v>735776.66666666663</v>
      </c>
      <c r="I308" s="7">
        <v>90</v>
      </c>
      <c r="J308" s="7" t="s">
        <v>62</v>
      </c>
      <c r="K308" s="7">
        <v>826</v>
      </c>
      <c r="L308" s="7">
        <v>15</v>
      </c>
      <c r="M308" s="7" t="s">
        <v>59</v>
      </c>
      <c r="N308" s="10">
        <v>7.7422339702197709E-2</v>
      </c>
      <c r="O308" s="7">
        <v>0.25</v>
      </c>
      <c r="P308" s="7">
        <v>0.23</v>
      </c>
    </row>
    <row r="309" spans="1:16" x14ac:dyDescent="0.15">
      <c r="A309" s="7">
        <v>1305</v>
      </c>
      <c r="B309" s="19">
        <v>45356</v>
      </c>
      <c r="C309" s="7">
        <v>360</v>
      </c>
      <c r="D309" s="19">
        <v>45747</v>
      </c>
      <c r="E309" s="7">
        <v>12</v>
      </c>
      <c r="F309" s="30">
        <v>266658</v>
      </c>
      <c r="G309" s="30">
        <v>248425.43951984009</v>
      </c>
      <c r="H309" s="28">
        <v>283678.72340425535</v>
      </c>
      <c r="I309" s="7">
        <v>94</v>
      </c>
      <c r="J309" s="7" t="s">
        <v>64</v>
      </c>
      <c r="K309" s="7">
        <v>652</v>
      </c>
      <c r="L309" s="7">
        <v>4</v>
      </c>
      <c r="M309" s="7" t="s">
        <v>59</v>
      </c>
      <c r="N309" s="10">
        <v>5.5318039620798246E-2</v>
      </c>
      <c r="O309" s="7">
        <v>0.25</v>
      </c>
      <c r="P309" s="7">
        <v>0.35</v>
      </c>
    </row>
    <row r="310" spans="1:16" x14ac:dyDescent="0.15">
      <c r="A310" s="7">
        <v>1306</v>
      </c>
      <c r="B310" s="19">
        <v>45394</v>
      </c>
      <c r="C310" s="7">
        <v>360</v>
      </c>
      <c r="D310" s="19">
        <v>45747</v>
      </c>
      <c r="E310" s="7">
        <v>11</v>
      </c>
      <c r="F310" s="30">
        <v>113912</v>
      </c>
      <c r="G310" s="30">
        <v>106344.50309854774</v>
      </c>
      <c r="H310" s="28">
        <v>127991.01123595505</v>
      </c>
      <c r="I310" s="7">
        <v>89</v>
      </c>
      <c r="J310" s="7" t="s">
        <v>72</v>
      </c>
      <c r="K310" s="7">
        <v>699</v>
      </c>
      <c r="L310" s="7">
        <v>11</v>
      </c>
      <c r="M310" s="7" t="s">
        <v>59</v>
      </c>
      <c r="N310" s="10">
        <v>6.0680852280054799E-2</v>
      </c>
      <c r="O310" s="7">
        <v>0.12</v>
      </c>
      <c r="P310" s="7">
        <v>0.25</v>
      </c>
    </row>
    <row r="311" spans="1:16" x14ac:dyDescent="0.15">
      <c r="A311" s="7">
        <v>1307</v>
      </c>
      <c r="B311" s="19">
        <v>45379</v>
      </c>
      <c r="C311" s="7">
        <v>360</v>
      </c>
      <c r="D311" s="19">
        <v>45747</v>
      </c>
      <c r="E311" s="7">
        <v>12</v>
      </c>
      <c r="F311" s="30">
        <v>797959</v>
      </c>
      <c r="G311" s="30">
        <v>731178.1480661761</v>
      </c>
      <c r="H311" s="28">
        <v>831207.29166666674</v>
      </c>
      <c r="I311" s="7">
        <v>96</v>
      </c>
      <c r="J311" s="7" t="s">
        <v>72</v>
      </c>
      <c r="K311" s="7">
        <v>617</v>
      </c>
      <c r="L311" s="7">
        <v>38</v>
      </c>
      <c r="M311" s="7" t="s">
        <v>59</v>
      </c>
      <c r="N311" s="10">
        <v>7.473680348148326E-2</v>
      </c>
      <c r="O311" s="7">
        <v>0.3</v>
      </c>
      <c r="P311" s="7">
        <v>0.41</v>
      </c>
    </row>
    <row r="312" spans="1:16" x14ac:dyDescent="0.15">
      <c r="A312" s="7">
        <v>1308</v>
      </c>
      <c r="B312" s="19">
        <v>45421</v>
      </c>
      <c r="C312" s="7">
        <v>360</v>
      </c>
      <c r="D312" s="19">
        <v>45747</v>
      </c>
      <c r="E312" s="7">
        <v>10</v>
      </c>
      <c r="F312" s="30">
        <v>769980</v>
      </c>
      <c r="G312" s="30">
        <v>726937.19206588808</v>
      </c>
      <c r="H312" s="28">
        <v>927686.7469879518</v>
      </c>
      <c r="I312" s="7">
        <v>83</v>
      </c>
      <c r="J312" s="7" t="s">
        <v>66</v>
      </c>
      <c r="K312" s="7">
        <v>628</v>
      </c>
      <c r="L312" s="7">
        <v>28</v>
      </c>
      <c r="M312" s="7" t="s">
        <v>59</v>
      </c>
      <c r="N312" s="10">
        <v>5.3596075727103253E-2</v>
      </c>
      <c r="O312" s="7">
        <v>0.12</v>
      </c>
      <c r="P312" s="7">
        <v>0.4</v>
      </c>
    </row>
    <row r="313" spans="1:16" x14ac:dyDescent="0.15">
      <c r="A313" s="7">
        <v>1309</v>
      </c>
      <c r="B313" s="19">
        <v>45416</v>
      </c>
      <c r="C313" s="7">
        <v>360</v>
      </c>
      <c r="D313" s="19">
        <v>45747</v>
      </c>
      <c r="E313" s="7">
        <v>10</v>
      </c>
      <c r="F313" s="30">
        <v>790626</v>
      </c>
      <c r="G313" s="30">
        <v>734166.44460311776</v>
      </c>
      <c r="H313" s="28">
        <v>988282.5</v>
      </c>
      <c r="I313" s="7">
        <v>80</v>
      </c>
      <c r="J313" s="7" t="s">
        <v>72</v>
      </c>
      <c r="K313" s="7">
        <v>694</v>
      </c>
      <c r="L313" s="7">
        <v>9</v>
      </c>
      <c r="M313" s="7" t="s">
        <v>59</v>
      </c>
      <c r="N313" s="10">
        <v>7.7166938393911866E-2</v>
      </c>
      <c r="O313" s="7">
        <v>0.12</v>
      </c>
      <c r="P313" s="7">
        <v>0.26</v>
      </c>
    </row>
    <row r="314" spans="1:16" x14ac:dyDescent="0.15">
      <c r="A314" s="7">
        <v>1310</v>
      </c>
      <c r="B314" s="19">
        <v>45347</v>
      </c>
      <c r="C314" s="7">
        <v>360</v>
      </c>
      <c r="D314" s="19">
        <v>45747</v>
      </c>
      <c r="E314" s="7">
        <v>13</v>
      </c>
      <c r="F314" s="30">
        <v>526075</v>
      </c>
      <c r="G314" s="30">
        <v>477085.01648325182</v>
      </c>
      <c r="H314" s="28">
        <v>542345.36082474224</v>
      </c>
      <c r="I314" s="7">
        <v>97</v>
      </c>
      <c r="J314" s="7" t="s">
        <v>65</v>
      </c>
      <c r="K314" s="7">
        <v>752</v>
      </c>
      <c r="L314" s="7">
        <v>19</v>
      </c>
      <c r="M314" s="7" t="s">
        <v>59</v>
      </c>
      <c r="N314" s="10">
        <v>7.7488846807026543E-2</v>
      </c>
      <c r="O314" s="7">
        <v>0.35</v>
      </c>
      <c r="P314" s="7">
        <v>0.35</v>
      </c>
    </row>
    <row r="315" spans="1:16" x14ac:dyDescent="0.15">
      <c r="A315" s="7">
        <v>1311</v>
      </c>
      <c r="B315" s="19">
        <v>45404</v>
      </c>
      <c r="C315" s="7">
        <v>360</v>
      </c>
      <c r="D315" s="19">
        <v>45747</v>
      </c>
      <c r="E315" s="7">
        <v>11</v>
      </c>
      <c r="F315" s="30">
        <v>367977</v>
      </c>
      <c r="G315" s="30">
        <v>338538.94775184663</v>
      </c>
      <c r="H315" s="28">
        <v>404370.32967032964</v>
      </c>
      <c r="I315" s="7">
        <v>91</v>
      </c>
      <c r="J315" s="7" t="s">
        <v>67</v>
      </c>
      <c r="K315" s="7">
        <v>683</v>
      </c>
      <c r="L315" s="7">
        <v>15</v>
      </c>
      <c r="M315" s="7" t="s">
        <v>59</v>
      </c>
      <c r="N315" s="10">
        <v>7.9066877763956919E-2</v>
      </c>
      <c r="O315" s="7">
        <v>0.25</v>
      </c>
      <c r="P315" s="7">
        <v>0.21</v>
      </c>
    </row>
    <row r="316" spans="1:16" x14ac:dyDescent="0.15">
      <c r="A316" s="7">
        <v>1312</v>
      </c>
      <c r="B316" s="19">
        <v>45457</v>
      </c>
      <c r="C316" s="7">
        <v>360</v>
      </c>
      <c r="D316" s="19">
        <v>45747</v>
      </c>
      <c r="E316" s="7">
        <v>9</v>
      </c>
      <c r="F316" s="30">
        <v>581142</v>
      </c>
      <c r="G316" s="30">
        <v>550880.19140305475</v>
      </c>
      <c r="H316" s="28">
        <v>652968.53932584263</v>
      </c>
      <c r="I316" s="7">
        <v>89</v>
      </c>
      <c r="J316" s="7" t="s">
        <v>61</v>
      </c>
      <c r="K316" s="7">
        <v>615</v>
      </c>
      <c r="L316" s="7">
        <v>21</v>
      </c>
      <c r="M316" s="7" t="s">
        <v>59</v>
      </c>
      <c r="N316" s="10">
        <v>5.6713938984321803E-2</v>
      </c>
      <c r="O316" s="7">
        <v>0.12</v>
      </c>
      <c r="P316" s="7">
        <v>0.3</v>
      </c>
    </row>
    <row r="317" spans="1:16" x14ac:dyDescent="0.15">
      <c r="A317" s="7">
        <v>1313</v>
      </c>
      <c r="B317" s="19">
        <v>45382</v>
      </c>
      <c r="C317" s="7">
        <v>360</v>
      </c>
      <c r="D317" s="19">
        <v>45747</v>
      </c>
      <c r="E317" s="7">
        <v>12</v>
      </c>
      <c r="F317" s="30">
        <v>670133</v>
      </c>
      <c r="G317" s="30">
        <v>626308.20165757975</v>
      </c>
      <c r="H317" s="28">
        <v>728405.43478260865</v>
      </c>
      <c r="I317" s="7">
        <v>92</v>
      </c>
      <c r="J317" s="7" t="s">
        <v>69</v>
      </c>
      <c r="K317" s="7">
        <v>762</v>
      </c>
      <c r="L317" s="7">
        <v>17</v>
      </c>
      <c r="M317" s="7" t="s">
        <v>59</v>
      </c>
      <c r="N317" s="10">
        <v>5.1329523161909724E-2</v>
      </c>
      <c r="O317" s="7">
        <v>0.25</v>
      </c>
      <c r="P317" s="7">
        <v>0.28999999999999998</v>
      </c>
    </row>
    <row r="318" spans="1:16" x14ac:dyDescent="0.15">
      <c r="A318" s="7">
        <v>1314</v>
      </c>
      <c r="B318" s="19">
        <v>45340</v>
      </c>
      <c r="C318" s="7">
        <v>360</v>
      </c>
      <c r="D318" s="19">
        <v>45747</v>
      </c>
      <c r="E318" s="7">
        <v>13</v>
      </c>
      <c r="F318" s="30">
        <v>681969</v>
      </c>
      <c r="G318" s="30">
        <v>624030.37921120494</v>
      </c>
      <c r="H318" s="28">
        <v>852461.25</v>
      </c>
      <c r="I318" s="7">
        <v>80</v>
      </c>
      <c r="J318" s="7" t="s">
        <v>72</v>
      </c>
      <c r="K318" s="7">
        <v>741</v>
      </c>
      <c r="L318" s="7">
        <v>15</v>
      </c>
      <c r="M318" s="7" t="s">
        <v>59</v>
      </c>
      <c r="N318" s="10">
        <v>6.823959124699043E-2</v>
      </c>
      <c r="O318" s="7">
        <v>0.12</v>
      </c>
      <c r="P318" s="7">
        <v>0.39</v>
      </c>
    </row>
    <row r="319" spans="1:16" x14ac:dyDescent="0.15">
      <c r="A319" s="7">
        <v>1315</v>
      </c>
      <c r="B319" s="19">
        <v>45448</v>
      </c>
      <c r="C319" s="7">
        <v>360</v>
      </c>
      <c r="D319" s="19">
        <v>45747</v>
      </c>
      <c r="E319" s="7">
        <v>9</v>
      </c>
      <c r="F319" s="30">
        <v>799368</v>
      </c>
      <c r="G319" s="30">
        <v>756418.96905627521</v>
      </c>
      <c r="H319" s="28">
        <v>824090.72164948459</v>
      </c>
      <c r="I319" s="7">
        <v>97</v>
      </c>
      <c r="J319" s="7" t="s">
        <v>61</v>
      </c>
      <c r="K319" s="7">
        <v>678</v>
      </c>
      <c r="L319" s="7">
        <v>29</v>
      </c>
      <c r="M319" s="7" t="s">
        <v>59</v>
      </c>
      <c r="N319" s="10">
        <v>5.9600727157208967E-2</v>
      </c>
      <c r="O319" s="7">
        <v>0.35</v>
      </c>
      <c r="P319" s="7">
        <v>0.42</v>
      </c>
    </row>
    <row r="320" spans="1:16" x14ac:dyDescent="0.15">
      <c r="A320" s="7">
        <v>1316</v>
      </c>
      <c r="B320" s="19">
        <v>45305</v>
      </c>
      <c r="C320" s="7">
        <v>360</v>
      </c>
      <c r="D320" s="19">
        <v>45747</v>
      </c>
      <c r="E320" s="7">
        <v>14</v>
      </c>
      <c r="F320" s="30">
        <v>314122</v>
      </c>
      <c r="G320" s="30">
        <v>288306.6265772382</v>
      </c>
      <c r="H320" s="28">
        <v>327210.41666666669</v>
      </c>
      <c r="I320" s="7">
        <v>96</v>
      </c>
      <c r="J320" s="7" t="s">
        <v>73</v>
      </c>
      <c r="K320" s="7">
        <v>825</v>
      </c>
      <c r="L320" s="7">
        <v>16</v>
      </c>
      <c r="M320" s="7" t="s">
        <v>59</v>
      </c>
      <c r="N320" s="10">
        <v>5.8041731635820354E-2</v>
      </c>
      <c r="O320" s="7">
        <v>0.3</v>
      </c>
      <c r="P320" s="7">
        <v>0.24</v>
      </c>
    </row>
    <row r="321" spans="1:16" x14ac:dyDescent="0.15">
      <c r="A321" s="7">
        <v>1317</v>
      </c>
      <c r="B321" s="19">
        <v>45361</v>
      </c>
      <c r="C321" s="7">
        <v>360</v>
      </c>
      <c r="D321" s="19">
        <v>45747</v>
      </c>
      <c r="E321" s="7">
        <v>12</v>
      </c>
      <c r="F321" s="30">
        <v>780666</v>
      </c>
      <c r="G321" s="30">
        <v>720762.22061003919</v>
      </c>
      <c r="H321" s="28">
        <v>952031.70731707325</v>
      </c>
      <c r="I321" s="7">
        <v>82</v>
      </c>
      <c r="J321" s="7" t="s">
        <v>71</v>
      </c>
      <c r="K321" s="7">
        <v>849</v>
      </c>
      <c r="L321" s="7">
        <v>4</v>
      </c>
      <c r="M321" s="7" t="s">
        <v>59</v>
      </c>
      <c r="N321" s="10">
        <v>6.6120003629078855E-2</v>
      </c>
      <c r="O321" s="7">
        <v>0.12</v>
      </c>
      <c r="P321" s="7">
        <v>0.45</v>
      </c>
    </row>
    <row r="322" spans="1:16" x14ac:dyDescent="0.15">
      <c r="A322" s="7">
        <v>1318</v>
      </c>
      <c r="B322" s="19">
        <v>45424</v>
      </c>
      <c r="C322" s="7">
        <v>360</v>
      </c>
      <c r="D322" s="19">
        <v>45747</v>
      </c>
      <c r="E322" s="7">
        <v>10</v>
      </c>
      <c r="F322" s="30">
        <v>751000</v>
      </c>
      <c r="G322" s="30">
        <v>707463.72706952144</v>
      </c>
      <c r="H322" s="28">
        <v>798936.17021276604</v>
      </c>
      <c r="I322" s="7">
        <v>94</v>
      </c>
      <c r="J322" s="7" t="s">
        <v>61</v>
      </c>
      <c r="K322" s="7">
        <v>819</v>
      </c>
      <c r="L322" s="7">
        <v>26</v>
      </c>
      <c r="M322" s="7" t="s">
        <v>59</v>
      </c>
      <c r="N322" s="10">
        <v>5.6891129528783876E-2</v>
      </c>
      <c r="O322" s="7">
        <v>0.25</v>
      </c>
      <c r="P322" s="7">
        <v>0.38</v>
      </c>
    </row>
    <row r="323" spans="1:16" x14ac:dyDescent="0.15">
      <c r="A323" s="7">
        <v>1319</v>
      </c>
      <c r="B323" s="19">
        <v>45472</v>
      </c>
      <c r="C323" s="7">
        <v>360</v>
      </c>
      <c r="D323" s="19">
        <v>45747</v>
      </c>
      <c r="E323" s="7">
        <v>9</v>
      </c>
      <c r="F323" s="30">
        <v>682493</v>
      </c>
      <c r="G323" s="30">
        <v>645147.37917776965</v>
      </c>
      <c r="H323" s="28">
        <v>812491.66666666674</v>
      </c>
      <c r="I323" s="7">
        <v>84</v>
      </c>
      <c r="J323" s="7" t="s">
        <v>61</v>
      </c>
      <c r="K323" s="7">
        <v>614</v>
      </c>
      <c r="L323" s="7">
        <v>46</v>
      </c>
      <c r="M323" s="7" t="s">
        <v>59</v>
      </c>
      <c r="N323" s="10">
        <v>6.1309219673004629E-2</v>
      </c>
      <c r="O323" s="7">
        <v>0.12</v>
      </c>
      <c r="P323" s="7">
        <v>0.21</v>
      </c>
    </row>
    <row r="324" spans="1:16" x14ac:dyDescent="0.15">
      <c r="A324" s="7">
        <v>1320</v>
      </c>
      <c r="B324" s="19">
        <v>45410</v>
      </c>
      <c r="C324" s="7">
        <v>360</v>
      </c>
      <c r="D324" s="19">
        <v>45747</v>
      </c>
      <c r="E324" s="7">
        <v>11</v>
      </c>
      <c r="F324" s="30">
        <v>297886</v>
      </c>
      <c r="G324" s="30">
        <v>276406.56229639845</v>
      </c>
      <c r="H324" s="28">
        <v>367760.49382716045</v>
      </c>
      <c r="I324" s="7">
        <v>81</v>
      </c>
      <c r="J324" s="7" t="s">
        <v>69</v>
      </c>
      <c r="K324" s="7">
        <v>743</v>
      </c>
      <c r="L324" s="7">
        <v>2</v>
      </c>
      <c r="M324" s="7" t="s">
        <v>59</v>
      </c>
      <c r="N324" s="10">
        <v>6.8537751206766917E-2</v>
      </c>
      <c r="O324" s="7">
        <v>0.12</v>
      </c>
      <c r="P324" s="7">
        <v>0.39</v>
      </c>
    </row>
    <row r="325" spans="1:16" x14ac:dyDescent="0.15">
      <c r="A325" s="7">
        <v>1321</v>
      </c>
      <c r="B325" s="19">
        <v>45406</v>
      </c>
      <c r="C325" s="7">
        <v>360</v>
      </c>
      <c r="D325" s="19">
        <v>45747</v>
      </c>
      <c r="E325" s="7">
        <v>11</v>
      </c>
      <c r="F325" s="30">
        <v>544102</v>
      </c>
      <c r="G325" s="30">
        <v>505011.84555661824</v>
      </c>
      <c r="H325" s="28">
        <v>591415.21739130432</v>
      </c>
      <c r="I325" s="7">
        <v>92</v>
      </c>
      <c r="J325" s="7" t="s">
        <v>60</v>
      </c>
      <c r="K325" s="7">
        <v>636</v>
      </c>
      <c r="L325" s="7">
        <v>6</v>
      </c>
      <c r="M325" s="7" t="s">
        <v>59</v>
      </c>
      <c r="N325" s="10">
        <v>6.8179618760065508E-2</v>
      </c>
      <c r="O325" s="7">
        <v>0.25</v>
      </c>
      <c r="P325" s="7">
        <v>0.4</v>
      </c>
    </row>
    <row r="326" spans="1:16" x14ac:dyDescent="0.15">
      <c r="A326" s="7">
        <v>1322</v>
      </c>
      <c r="B326" s="19">
        <v>45348</v>
      </c>
      <c r="C326" s="7">
        <v>360</v>
      </c>
      <c r="D326" s="19">
        <v>45747</v>
      </c>
      <c r="E326" s="7">
        <v>13</v>
      </c>
      <c r="F326" s="30">
        <v>570718</v>
      </c>
      <c r="G326" s="30">
        <v>516622.00721750595</v>
      </c>
      <c r="H326" s="28">
        <v>627162.63736263732</v>
      </c>
      <c r="I326" s="7">
        <v>91</v>
      </c>
      <c r="J326" s="7" t="s">
        <v>61</v>
      </c>
      <c r="K326" s="7">
        <v>802</v>
      </c>
      <c r="L326" s="7">
        <v>18</v>
      </c>
      <c r="M326" s="7" t="s">
        <v>59</v>
      </c>
      <c r="N326" s="10">
        <v>7.9333261883768338E-2</v>
      </c>
      <c r="O326" s="7">
        <v>0.25</v>
      </c>
      <c r="P326" s="7">
        <v>0.33</v>
      </c>
    </row>
    <row r="327" spans="1:16" x14ac:dyDescent="0.15">
      <c r="A327" s="7">
        <v>1323</v>
      </c>
      <c r="B327" s="19">
        <v>45341</v>
      </c>
      <c r="C327" s="7">
        <v>360</v>
      </c>
      <c r="D327" s="19">
        <v>45747</v>
      </c>
      <c r="E327" s="7">
        <v>13</v>
      </c>
      <c r="F327" s="30">
        <v>370678</v>
      </c>
      <c r="G327" s="30">
        <v>338994.34165451193</v>
      </c>
      <c r="H327" s="28">
        <v>431020.93023255817</v>
      </c>
      <c r="I327" s="7">
        <v>86</v>
      </c>
      <c r="J327" s="7" t="s">
        <v>66</v>
      </c>
      <c r="K327" s="7">
        <v>798</v>
      </c>
      <c r="L327" s="7">
        <v>21</v>
      </c>
      <c r="M327" s="7" t="s">
        <v>59</v>
      </c>
      <c r="N327" s="10">
        <v>6.8835332653304701E-2</v>
      </c>
      <c r="O327" s="7">
        <v>0.12</v>
      </c>
      <c r="P327" s="7">
        <v>0.42</v>
      </c>
    </row>
    <row r="328" spans="1:16" x14ac:dyDescent="0.15">
      <c r="A328" s="7">
        <v>1324</v>
      </c>
      <c r="B328" s="19">
        <v>45453</v>
      </c>
      <c r="C328" s="7">
        <v>360</v>
      </c>
      <c r="D328" s="19">
        <v>45747</v>
      </c>
      <c r="E328" s="7">
        <v>9</v>
      </c>
      <c r="F328" s="30">
        <v>351171</v>
      </c>
      <c r="G328" s="30">
        <v>328059.69617944612</v>
      </c>
      <c r="H328" s="28">
        <v>369653.68421052635</v>
      </c>
      <c r="I328" s="7">
        <v>95</v>
      </c>
      <c r="J328" s="7" t="s">
        <v>71</v>
      </c>
      <c r="K328" s="7">
        <v>765</v>
      </c>
      <c r="L328" s="7">
        <v>38</v>
      </c>
      <c r="M328" s="7" t="s">
        <v>59</v>
      </c>
      <c r="N328" s="10">
        <v>7.9638441394074236E-2</v>
      </c>
      <c r="O328" s="7">
        <v>0.3</v>
      </c>
      <c r="P328" s="7">
        <v>0.41</v>
      </c>
    </row>
    <row r="329" spans="1:16" x14ac:dyDescent="0.15">
      <c r="A329" s="7">
        <v>1325</v>
      </c>
      <c r="B329" s="19">
        <v>45425</v>
      </c>
      <c r="C329" s="7">
        <v>360</v>
      </c>
      <c r="D329" s="19">
        <v>45747</v>
      </c>
      <c r="E329" s="7">
        <v>10</v>
      </c>
      <c r="F329" s="30">
        <v>412828</v>
      </c>
      <c r="G329" s="30">
        <v>389887.52797788975</v>
      </c>
      <c r="H329" s="28">
        <v>439178.72340425535</v>
      </c>
      <c r="I329" s="7">
        <v>94</v>
      </c>
      <c r="J329" s="7" t="s">
        <v>66</v>
      </c>
      <c r="K329" s="7">
        <v>604</v>
      </c>
      <c r="L329" s="7">
        <v>12</v>
      </c>
      <c r="M329" s="7" t="s">
        <v>59</v>
      </c>
      <c r="N329" s="10">
        <v>5.3062170926708216E-2</v>
      </c>
      <c r="O329" s="7">
        <v>0.25</v>
      </c>
      <c r="P329" s="7">
        <v>0.31</v>
      </c>
    </row>
    <row r="330" spans="1:16" x14ac:dyDescent="0.15">
      <c r="A330" s="7">
        <v>1326</v>
      </c>
      <c r="B330" s="19">
        <v>45363</v>
      </c>
      <c r="C330" s="7">
        <v>360</v>
      </c>
      <c r="D330" s="19">
        <v>45747</v>
      </c>
      <c r="E330" s="7">
        <v>12</v>
      </c>
      <c r="F330" s="30">
        <v>291742</v>
      </c>
      <c r="G330" s="30">
        <v>267519.82803498727</v>
      </c>
      <c r="H330" s="28">
        <v>310363.82978723408</v>
      </c>
      <c r="I330" s="7">
        <v>94</v>
      </c>
      <c r="J330" s="7" t="s">
        <v>72</v>
      </c>
      <c r="K330" s="7">
        <v>787</v>
      </c>
      <c r="L330" s="7">
        <v>3</v>
      </c>
      <c r="M330" s="7" t="s">
        <v>59</v>
      </c>
      <c r="N330" s="10">
        <v>7.3927216739616664E-2</v>
      </c>
      <c r="O330" s="7">
        <v>0.25</v>
      </c>
      <c r="P330" s="7">
        <v>0.23</v>
      </c>
    </row>
    <row r="331" spans="1:16" x14ac:dyDescent="0.15">
      <c r="A331" s="7">
        <v>1327</v>
      </c>
      <c r="B331" s="19">
        <v>45402</v>
      </c>
      <c r="C331" s="7">
        <v>360</v>
      </c>
      <c r="D331" s="19">
        <v>45747</v>
      </c>
      <c r="E331" s="7">
        <v>11</v>
      </c>
      <c r="F331" s="30">
        <v>150479</v>
      </c>
      <c r="G331" s="30">
        <v>139561.23932356341</v>
      </c>
      <c r="H331" s="28">
        <v>177034.11764705883</v>
      </c>
      <c r="I331" s="7">
        <v>85</v>
      </c>
      <c r="J331" s="7" t="s">
        <v>73</v>
      </c>
      <c r="K331" s="7">
        <v>726</v>
      </c>
      <c r="L331" s="7">
        <v>48</v>
      </c>
      <c r="M331" s="7" t="s">
        <v>59</v>
      </c>
      <c r="N331" s="10">
        <v>6.9145886855901631E-2</v>
      </c>
      <c r="O331" s="7">
        <v>0.12</v>
      </c>
      <c r="P331" s="7">
        <v>0.35</v>
      </c>
    </row>
    <row r="332" spans="1:16" x14ac:dyDescent="0.15">
      <c r="A332" s="7">
        <v>1328</v>
      </c>
      <c r="B332" s="19">
        <v>45412</v>
      </c>
      <c r="C332" s="7">
        <v>360</v>
      </c>
      <c r="D332" s="19">
        <v>45747</v>
      </c>
      <c r="E332" s="7">
        <v>11</v>
      </c>
      <c r="F332" s="30">
        <v>149446</v>
      </c>
      <c r="G332" s="30">
        <v>140211.71499999659</v>
      </c>
      <c r="H332" s="28">
        <v>175818.82352941178</v>
      </c>
      <c r="I332" s="7">
        <v>85</v>
      </c>
      <c r="J332" s="7" t="s">
        <v>69</v>
      </c>
      <c r="K332" s="7">
        <v>709</v>
      </c>
      <c r="L332" s="7">
        <v>40</v>
      </c>
      <c r="M332" s="7" t="s">
        <v>59</v>
      </c>
      <c r="N332" s="10">
        <v>5.4031635878571287E-2</v>
      </c>
      <c r="O332" s="7">
        <v>0.12</v>
      </c>
      <c r="P332" s="7">
        <v>0.28999999999999998</v>
      </c>
    </row>
    <row r="333" spans="1:16" x14ac:dyDescent="0.15">
      <c r="A333" s="7">
        <v>1329</v>
      </c>
      <c r="B333" s="19">
        <v>45364</v>
      </c>
      <c r="C333" s="7">
        <v>360</v>
      </c>
      <c r="D333" s="19">
        <v>45747</v>
      </c>
      <c r="E333" s="7">
        <v>12</v>
      </c>
      <c r="F333" s="30">
        <v>557367</v>
      </c>
      <c r="G333" s="30">
        <v>514979.2674933949</v>
      </c>
      <c r="H333" s="28">
        <v>592943.61702127662</v>
      </c>
      <c r="I333" s="7">
        <v>94</v>
      </c>
      <c r="J333" s="7" t="s">
        <v>72</v>
      </c>
      <c r="K333" s="7">
        <v>600</v>
      </c>
      <c r="L333" s="7">
        <v>48</v>
      </c>
      <c r="M333" s="7" t="s">
        <v>59</v>
      </c>
      <c r="N333" s="10">
        <v>6.5255549738630445E-2</v>
      </c>
      <c r="O333" s="7">
        <v>0.25</v>
      </c>
      <c r="P333" s="7">
        <v>0.23</v>
      </c>
    </row>
    <row r="334" spans="1:16" x14ac:dyDescent="0.15">
      <c r="A334" s="7">
        <v>1330</v>
      </c>
      <c r="B334" s="19">
        <v>45293</v>
      </c>
      <c r="C334" s="7">
        <v>360</v>
      </c>
      <c r="D334" s="19">
        <v>45747</v>
      </c>
      <c r="E334" s="7">
        <v>14</v>
      </c>
      <c r="F334" s="30">
        <v>529735</v>
      </c>
      <c r="G334" s="30">
        <v>488305.65177616989</v>
      </c>
      <c r="H334" s="28">
        <v>551807.29166666674</v>
      </c>
      <c r="I334" s="7">
        <v>96</v>
      </c>
      <c r="J334" s="7" t="s">
        <v>73</v>
      </c>
      <c r="K334" s="7">
        <v>609</v>
      </c>
      <c r="L334" s="7">
        <v>29</v>
      </c>
      <c r="M334" s="7" t="s">
        <v>59</v>
      </c>
      <c r="N334" s="10">
        <v>5.3534148023096001E-2</v>
      </c>
      <c r="O334" s="7">
        <v>0.3</v>
      </c>
      <c r="P334" s="7">
        <v>0.24</v>
      </c>
    </row>
    <row r="335" spans="1:16" x14ac:dyDescent="0.15">
      <c r="A335" s="7">
        <v>1331</v>
      </c>
      <c r="B335" s="19">
        <v>45440</v>
      </c>
      <c r="C335" s="7">
        <v>360</v>
      </c>
      <c r="D335" s="19">
        <v>45747</v>
      </c>
      <c r="E335" s="7">
        <v>10</v>
      </c>
      <c r="F335" s="30">
        <v>403563</v>
      </c>
      <c r="G335" s="30">
        <v>374332.36278932268</v>
      </c>
      <c r="H335" s="28">
        <v>416044.32989690721</v>
      </c>
      <c r="I335" s="7">
        <v>97</v>
      </c>
      <c r="J335" s="7" t="s">
        <v>71</v>
      </c>
      <c r="K335" s="7">
        <v>705</v>
      </c>
      <c r="L335" s="7">
        <v>5</v>
      </c>
      <c r="M335" s="7" t="s">
        <v>59</v>
      </c>
      <c r="N335" s="10">
        <v>7.8641163722855886E-2</v>
      </c>
      <c r="O335" s="7">
        <v>0.35</v>
      </c>
      <c r="P335" s="7">
        <v>0.37</v>
      </c>
    </row>
    <row r="336" spans="1:16" x14ac:dyDescent="0.15">
      <c r="A336" s="7">
        <v>1332</v>
      </c>
      <c r="B336" s="19">
        <v>45357</v>
      </c>
      <c r="C336" s="7">
        <v>360</v>
      </c>
      <c r="D336" s="19">
        <v>45747</v>
      </c>
      <c r="E336" s="7">
        <v>12</v>
      </c>
      <c r="F336" s="30">
        <v>696198</v>
      </c>
      <c r="G336" s="30">
        <v>642372.05582113366</v>
      </c>
      <c r="H336" s="28">
        <v>859503.70370370359</v>
      </c>
      <c r="I336" s="7">
        <v>81</v>
      </c>
      <c r="J336" s="7" t="s">
        <v>68</v>
      </c>
      <c r="K336" s="7">
        <v>844</v>
      </c>
      <c r="L336" s="7">
        <v>36</v>
      </c>
      <c r="M336" s="7" t="s">
        <v>59</v>
      </c>
      <c r="N336" s="10">
        <v>6.6850169934992168E-2</v>
      </c>
      <c r="O336" s="7">
        <v>0.12</v>
      </c>
      <c r="P336" s="7">
        <v>0.28999999999999998</v>
      </c>
    </row>
    <row r="337" spans="1:16" x14ac:dyDescent="0.15">
      <c r="A337" s="7">
        <v>1333</v>
      </c>
      <c r="B337" s="19">
        <v>45331</v>
      </c>
      <c r="C337" s="7">
        <v>360</v>
      </c>
      <c r="D337" s="19">
        <v>45747</v>
      </c>
      <c r="E337" s="7">
        <v>13</v>
      </c>
      <c r="F337" s="30">
        <v>404498</v>
      </c>
      <c r="G337" s="30">
        <v>369601.12925651012</v>
      </c>
      <c r="H337" s="28">
        <v>421352.08333333337</v>
      </c>
      <c r="I337" s="7">
        <v>96</v>
      </c>
      <c r="J337" s="7" t="s">
        <v>64</v>
      </c>
      <c r="K337" s="7">
        <v>630</v>
      </c>
      <c r="L337" s="7">
        <v>24</v>
      </c>
      <c r="M337" s="7" t="s">
        <v>59</v>
      </c>
      <c r="N337" s="10">
        <v>6.9751011245756292E-2</v>
      </c>
      <c r="O337" s="7">
        <v>0.3</v>
      </c>
      <c r="P337" s="7">
        <v>0.33</v>
      </c>
    </row>
    <row r="338" spans="1:16" x14ac:dyDescent="0.15">
      <c r="A338" s="7">
        <v>1334</v>
      </c>
      <c r="B338" s="19">
        <v>45438</v>
      </c>
      <c r="C338" s="7">
        <v>360</v>
      </c>
      <c r="D338" s="19">
        <v>45747</v>
      </c>
      <c r="E338" s="7">
        <v>10</v>
      </c>
      <c r="F338" s="30">
        <v>340080</v>
      </c>
      <c r="G338" s="30">
        <v>319856.93008012261</v>
      </c>
      <c r="H338" s="28">
        <v>390896.55172413791</v>
      </c>
      <c r="I338" s="7">
        <v>87</v>
      </c>
      <c r="J338" s="7" t="s">
        <v>68</v>
      </c>
      <c r="K338" s="7">
        <v>787</v>
      </c>
      <c r="L338" s="7">
        <v>6</v>
      </c>
      <c r="M338" s="7" t="s">
        <v>59</v>
      </c>
      <c r="N338" s="10">
        <v>5.9237371041334023E-2</v>
      </c>
      <c r="O338" s="7">
        <v>0.12</v>
      </c>
      <c r="P338" s="7">
        <v>0.2</v>
      </c>
    </row>
    <row r="339" spans="1:16" x14ac:dyDescent="0.15">
      <c r="A339" s="7">
        <v>1335</v>
      </c>
      <c r="B339" s="19">
        <v>45406</v>
      </c>
      <c r="C339" s="7">
        <v>360</v>
      </c>
      <c r="D339" s="19">
        <v>45747</v>
      </c>
      <c r="E339" s="7">
        <v>11</v>
      </c>
      <c r="F339" s="30">
        <v>568808</v>
      </c>
      <c r="G339" s="30">
        <v>534082.0261030338</v>
      </c>
      <c r="H339" s="28">
        <v>677152.38095238095</v>
      </c>
      <c r="I339" s="7">
        <v>84</v>
      </c>
      <c r="J339" s="7" t="s">
        <v>71</v>
      </c>
      <c r="K339" s="7">
        <v>782</v>
      </c>
      <c r="L339" s="7">
        <v>7</v>
      </c>
      <c r="M339" s="7" t="s">
        <v>59</v>
      </c>
      <c r="N339" s="10">
        <v>5.2951567391260265E-2</v>
      </c>
      <c r="O339" s="7">
        <v>0.12</v>
      </c>
      <c r="P339" s="7">
        <v>0.31</v>
      </c>
    </row>
    <row r="340" spans="1:16" x14ac:dyDescent="0.15">
      <c r="A340" s="7">
        <v>1336</v>
      </c>
      <c r="B340" s="19">
        <v>45331</v>
      </c>
      <c r="C340" s="7">
        <v>360</v>
      </c>
      <c r="D340" s="19">
        <v>45747</v>
      </c>
      <c r="E340" s="7">
        <v>13</v>
      </c>
      <c r="F340" s="30">
        <v>342537</v>
      </c>
      <c r="G340" s="30">
        <v>311914.66540151631</v>
      </c>
      <c r="H340" s="28">
        <v>384873.03370786516</v>
      </c>
      <c r="I340" s="7">
        <v>89</v>
      </c>
      <c r="J340" s="7" t="s">
        <v>62</v>
      </c>
      <c r="K340" s="7">
        <v>658</v>
      </c>
      <c r="L340" s="7">
        <v>1</v>
      </c>
      <c r="M340" s="7" t="s">
        <v>59</v>
      </c>
      <c r="N340" s="10">
        <v>7.3310409285573641E-2</v>
      </c>
      <c r="O340" s="7">
        <v>0.12</v>
      </c>
      <c r="P340" s="7">
        <v>0.28000000000000003</v>
      </c>
    </row>
    <row r="341" spans="1:16" x14ac:dyDescent="0.15">
      <c r="A341" s="7">
        <v>1337</v>
      </c>
      <c r="B341" s="19">
        <v>45303</v>
      </c>
      <c r="C341" s="7">
        <v>360</v>
      </c>
      <c r="D341" s="19">
        <v>45747</v>
      </c>
      <c r="E341" s="7">
        <v>14</v>
      </c>
      <c r="F341" s="30">
        <v>261989</v>
      </c>
      <c r="G341" s="30">
        <v>237836.40840318566</v>
      </c>
      <c r="H341" s="28">
        <v>304638.37209302327</v>
      </c>
      <c r="I341" s="7">
        <v>86</v>
      </c>
      <c r="J341" s="7" t="s">
        <v>64</v>
      </c>
      <c r="K341" s="7">
        <v>819</v>
      </c>
      <c r="L341" s="7">
        <v>2</v>
      </c>
      <c r="M341" s="7" t="s">
        <v>59</v>
      </c>
      <c r="N341" s="10">
        <v>6.8984318577761397E-2</v>
      </c>
      <c r="O341" s="7">
        <v>0.12</v>
      </c>
      <c r="P341" s="7">
        <v>0.28000000000000003</v>
      </c>
    </row>
    <row r="342" spans="1:16" x14ac:dyDescent="0.15">
      <c r="A342" s="7">
        <v>1338</v>
      </c>
      <c r="B342" s="19">
        <v>45310</v>
      </c>
      <c r="C342" s="7">
        <v>360</v>
      </c>
      <c r="D342" s="19">
        <v>45747</v>
      </c>
      <c r="E342" s="7">
        <v>14</v>
      </c>
      <c r="F342" s="30">
        <v>508984</v>
      </c>
      <c r="G342" s="30">
        <v>469509.93330426165</v>
      </c>
      <c r="H342" s="28">
        <v>530191.66666666674</v>
      </c>
      <c r="I342" s="7">
        <v>96</v>
      </c>
      <c r="J342" s="7" t="s">
        <v>74</v>
      </c>
      <c r="K342" s="7">
        <v>641</v>
      </c>
      <c r="L342" s="7">
        <v>7</v>
      </c>
      <c r="M342" s="7" t="s">
        <v>59</v>
      </c>
      <c r="N342" s="10">
        <v>5.2783614471715402E-2</v>
      </c>
      <c r="O342" s="7">
        <v>0.3</v>
      </c>
      <c r="P342" s="7">
        <v>0.45</v>
      </c>
    </row>
    <row r="343" spans="1:16" x14ac:dyDescent="0.15">
      <c r="A343" s="7">
        <v>1339</v>
      </c>
      <c r="B343" s="19">
        <v>45377</v>
      </c>
      <c r="C343" s="7">
        <v>360</v>
      </c>
      <c r="D343" s="19">
        <v>45747</v>
      </c>
      <c r="E343" s="7">
        <v>12</v>
      </c>
      <c r="F343" s="30">
        <v>685861</v>
      </c>
      <c r="G343" s="30">
        <v>638159.74506655615</v>
      </c>
      <c r="H343" s="28">
        <v>745501.08695652173</v>
      </c>
      <c r="I343" s="7">
        <v>92</v>
      </c>
      <c r="J343" s="7" t="s">
        <v>74</v>
      </c>
      <c r="K343" s="7">
        <v>688</v>
      </c>
      <c r="L343" s="7">
        <v>39</v>
      </c>
      <c r="M343" s="7" t="s">
        <v>59</v>
      </c>
      <c r="N343" s="10">
        <v>5.6870295996350809E-2</v>
      </c>
      <c r="O343" s="7">
        <v>0.25</v>
      </c>
      <c r="P343" s="7">
        <v>0.36</v>
      </c>
    </row>
    <row r="344" spans="1:16" x14ac:dyDescent="0.15">
      <c r="A344" s="7">
        <v>1340</v>
      </c>
      <c r="B344" s="19">
        <v>45324</v>
      </c>
      <c r="C344" s="7">
        <v>360</v>
      </c>
      <c r="D344" s="19">
        <v>45747</v>
      </c>
      <c r="E344" s="7">
        <v>13</v>
      </c>
      <c r="F344" s="30">
        <v>596865</v>
      </c>
      <c r="G344" s="30">
        <v>554315.6904908804</v>
      </c>
      <c r="H344" s="28">
        <v>678255.68181818177</v>
      </c>
      <c r="I344" s="7">
        <v>88</v>
      </c>
      <c r="J344" s="7" t="s">
        <v>61</v>
      </c>
      <c r="K344" s="7">
        <v>650</v>
      </c>
      <c r="L344" s="7">
        <v>37</v>
      </c>
      <c r="M344" s="7" t="s">
        <v>59</v>
      </c>
      <c r="N344" s="10">
        <v>5.1879899491466722E-2</v>
      </c>
      <c r="O344" s="7">
        <v>0.12</v>
      </c>
      <c r="P344" s="7">
        <v>0.27</v>
      </c>
    </row>
    <row r="345" spans="1:16" x14ac:dyDescent="0.15">
      <c r="A345" s="7">
        <v>1341</v>
      </c>
      <c r="B345" s="19">
        <v>45451</v>
      </c>
      <c r="C345" s="7">
        <v>360</v>
      </c>
      <c r="D345" s="19">
        <v>45747</v>
      </c>
      <c r="E345" s="7">
        <v>9</v>
      </c>
      <c r="F345" s="30">
        <v>584859</v>
      </c>
      <c r="G345" s="30">
        <v>551264.19637014333</v>
      </c>
      <c r="H345" s="28">
        <v>731073.75</v>
      </c>
      <c r="I345" s="7">
        <v>80</v>
      </c>
      <c r="J345" s="7" t="s">
        <v>69</v>
      </c>
      <c r="K345" s="7">
        <v>734</v>
      </c>
      <c r="L345" s="7">
        <v>34</v>
      </c>
      <c r="M345" s="7" t="s">
        <v>59</v>
      </c>
      <c r="N345" s="10">
        <v>6.5935336335150696E-2</v>
      </c>
      <c r="O345" s="7">
        <v>0.12</v>
      </c>
      <c r="P345" s="7">
        <v>0.32</v>
      </c>
    </row>
    <row r="346" spans="1:16" x14ac:dyDescent="0.15">
      <c r="A346" s="7">
        <v>1342</v>
      </c>
      <c r="B346" s="19">
        <v>45427</v>
      </c>
      <c r="C346" s="7">
        <v>360</v>
      </c>
      <c r="D346" s="19">
        <v>45747</v>
      </c>
      <c r="E346" s="7">
        <v>10</v>
      </c>
      <c r="F346" s="30">
        <v>175119</v>
      </c>
      <c r="G346" s="30">
        <v>164563.41269664594</v>
      </c>
      <c r="H346" s="28">
        <v>188300</v>
      </c>
      <c r="I346" s="7">
        <v>93</v>
      </c>
      <c r="J346" s="7" t="s">
        <v>74</v>
      </c>
      <c r="K346" s="7">
        <v>654</v>
      </c>
      <c r="L346" s="7">
        <v>42</v>
      </c>
      <c r="M346" s="7" t="s">
        <v>59</v>
      </c>
      <c r="N346" s="10">
        <v>6.0499634029824702E-2</v>
      </c>
      <c r="O346" s="7">
        <v>0.25</v>
      </c>
      <c r="P346" s="7">
        <v>0.41</v>
      </c>
    </row>
    <row r="347" spans="1:16" x14ac:dyDescent="0.15">
      <c r="A347" s="7">
        <v>1343</v>
      </c>
      <c r="B347" s="19">
        <v>45394</v>
      </c>
      <c r="C347" s="7">
        <v>360</v>
      </c>
      <c r="D347" s="19">
        <v>45747</v>
      </c>
      <c r="E347" s="7">
        <v>11</v>
      </c>
      <c r="F347" s="30">
        <v>591289</v>
      </c>
      <c r="G347" s="30">
        <v>544900.68123259419</v>
      </c>
      <c r="H347" s="28">
        <v>695634.1176470588</v>
      </c>
      <c r="I347" s="7">
        <v>85</v>
      </c>
      <c r="J347" s="7" t="s">
        <v>67</v>
      </c>
      <c r="K347" s="7">
        <v>830</v>
      </c>
      <c r="L347" s="7">
        <v>46</v>
      </c>
      <c r="M347" s="7" t="s">
        <v>59</v>
      </c>
      <c r="N347" s="10">
        <v>7.7035911459353748E-2</v>
      </c>
      <c r="O347" s="7">
        <v>0.12</v>
      </c>
      <c r="P347" s="7">
        <v>0.25</v>
      </c>
    </row>
    <row r="348" spans="1:16" x14ac:dyDescent="0.15">
      <c r="A348" s="7">
        <v>1344</v>
      </c>
      <c r="B348" s="19">
        <v>45341</v>
      </c>
      <c r="C348" s="7">
        <v>360</v>
      </c>
      <c r="D348" s="19">
        <v>45747</v>
      </c>
      <c r="E348" s="7">
        <v>13</v>
      </c>
      <c r="F348" s="30">
        <v>446126</v>
      </c>
      <c r="G348" s="30">
        <v>411339.62277694989</v>
      </c>
      <c r="H348" s="28">
        <v>544056.09756097558</v>
      </c>
      <c r="I348" s="7">
        <v>82</v>
      </c>
      <c r="J348" s="7" t="s">
        <v>72</v>
      </c>
      <c r="K348" s="7">
        <v>663</v>
      </c>
      <c r="L348" s="7">
        <v>39</v>
      </c>
      <c r="M348" s="7" t="s">
        <v>59</v>
      </c>
      <c r="N348" s="10">
        <v>6.0039198104265647E-2</v>
      </c>
      <c r="O348" s="7">
        <v>0.12</v>
      </c>
      <c r="P348" s="7">
        <v>0.41</v>
      </c>
    </row>
    <row r="349" spans="1:16" x14ac:dyDescent="0.15">
      <c r="A349" s="7">
        <v>1345</v>
      </c>
      <c r="B349" s="19">
        <v>45325</v>
      </c>
      <c r="C349" s="7">
        <v>360</v>
      </c>
      <c r="D349" s="19">
        <v>45747</v>
      </c>
      <c r="E349" s="7">
        <v>13</v>
      </c>
      <c r="F349" s="30">
        <v>244262</v>
      </c>
      <c r="G349" s="30">
        <v>224437.81053830578</v>
      </c>
      <c r="H349" s="28">
        <v>268419.78021978022</v>
      </c>
      <c r="I349" s="7">
        <v>91</v>
      </c>
      <c r="J349" s="7" t="s">
        <v>70</v>
      </c>
      <c r="K349" s="7">
        <v>768</v>
      </c>
      <c r="L349" s="7">
        <v>9</v>
      </c>
      <c r="M349" s="7" t="s">
        <v>59</v>
      </c>
      <c r="N349" s="10">
        <v>6.3816375787824009E-2</v>
      </c>
      <c r="O349" s="7">
        <v>0.25</v>
      </c>
      <c r="P349" s="7">
        <v>0.2</v>
      </c>
    </row>
    <row r="350" spans="1:16" x14ac:dyDescent="0.15">
      <c r="A350" s="7">
        <v>1346</v>
      </c>
      <c r="B350" s="19">
        <v>45328</v>
      </c>
      <c r="C350" s="7">
        <v>360</v>
      </c>
      <c r="D350" s="19">
        <v>45747</v>
      </c>
      <c r="E350" s="7">
        <v>13</v>
      </c>
      <c r="F350" s="30">
        <v>388861</v>
      </c>
      <c r="G350" s="30">
        <v>357697.6364659876</v>
      </c>
      <c r="H350" s="28">
        <v>432067.77777777775</v>
      </c>
      <c r="I350" s="7">
        <v>90</v>
      </c>
      <c r="J350" s="7" t="s">
        <v>66</v>
      </c>
      <c r="K350" s="7">
        <v>736</v>
      </c>
      <c r="L350" s="7">
        <v>29</v>
      </c>
      <c r="M350" s="7" t="s">
        <v>59</v>
      </c>
      <c r="N350" s="10">
        <v>6.2614547254658925E-2</v>
      </c>
      <c r="O350" s="7">
        <v>0.25</v>
      </c>
      <c r="P350" s="7">
        <v>0.28999999999999998</v>
      </c>
    </row>
    <row r="351" spans="1:16" x14ac:dyDescent="0.15">
      <c r="A351" s="7">
        <v>1347</v>
      </c>
      <c r="B351" s="19">
        <v>45338</v>
      </c>
      <c r="C351" s="7">
        <v>360</v>
      </c>
      <c r="D351" s="19">
        <v>45747</v>
      </c>
      <c r="E351" s="7">
        <v>13</v>
      </c>
      <c r="F351" s="30">
        <v>213786</v>
      </c>
      <c r="G351" s="30">
        <v>193620.83658215063</v>
      </c>
      <c r="H351" s="28">
        <v>220397.93814432991</v>
      </c>
      <c r="I351" s="7">
        <v>97</v>
      </c>
      <c r="J351" s="7" t="s">
        <v>70</v>
      </c>
      <c r="K351" s="7">
        <v>815</v>
      </c>
      <c r="L351" s="7">
        <v>30</v>
      </c>
      <c r="M351" s="7" t="s">
        <v>59</v>
      </c>
      <c r="N351" s="10">
        <v>7.8822069354521365E-2</v>
      </c>
      <c r="O351" s="7">
        <v>0.35</v>
      </c>
      <c r="P351" s="7">
        <v>0.42</v>
      </c>
    </row>
    <row r="352" spans="1:16" x14ac:dyDescent="0.15">
      <c r="A352" s="7">
        <v>1348</v>
      </c>
      <c r="B352" s="19">
        <v>45373</v>
      </c>
      <c r="C352" s="7">
        <v>360</v>
      </c>
      <c r="D352" s="19">
        <v>45747</v>
      </c>
      <c r="E352" s="7">
        <v>12</v>
      </c>
      <c r="F352" s="30">
        <v>316570</v>
      </c>
      <c r="G352" s="30">
        <v>292411.16165166197</v>
      </c>
      <c r="H352" s="28">
        <v>333231.57894736843</v>
      </c>
      <c r="I352" s="7">
        <v>95</v>
      </c>
      <c r="J352" s="7" t="s">
        <v>72</v>
      </c>
      <c r="K352" s="7">
        <v>742</v>
      </c>
      <c r="L352" s="7">
        <v>39</v>
      </c>
      <c r="M352" s="7" t="s">
        <v>59</v>
      </c>
      <c r="N352" s="10">
        <v>6.5589983829930476E-2</v>
      </c>
      <c r="O352" s="7">
        <v>0.3</v>
      </c>
      <c r="P352" s="7">
        <v>0.45</v>
      </c>
    </row>
    <row r="353" spans="1:16" x14ac:dyDescent="0.15">
      <c r="A353" s="7">
        <v>1349</v>
      </c>
      <c r="B353" s="19">
        <v>45295</v>
      </c>
      <c r="C353" s="7">
        <v>360</v>
      </c>
      <c r="D353" s="19">
        <v>45747</v>
      </c>
      <c r="E353" s="7">
        <v>14</v>
      </c>
      <c r="F353" s="30">
        <v>476485</v>
      </c>
      <c r="G353" s="30">
        <v>440598.28003924043</v>
      </c>
      <c r="H353" s="28">
        <v>523609.89010989008</v>
      </c>
      <c r="I353" s="7">
        <v>91</v>
      </c>
      <c r="J353" s="7" t="s">
        <v>72</v>
      </c>
      <c r="K353" s="7">
        <v>681</v>
      </c>
      <c r="L353" s="7">
        <v>25</v>
      </c>
      <c r="M353" s="7" t="s">
        <v>59</v>
      </c>
      <c r="N353" s="10">
        <v>5.0187489993593702E-2</v>
      </c>
      <c r="O353" s="7">
        <v>0.25</v>
      </c>
      <c r="P353" s="7">
        <v>0.22</v>
      </c>
    </row>
    <row r="354" spans="1:16" x14ac:dyDescent="0.15">
      <c r="A354" s="7">
        <v>1350</v>
      </c>
      <c r="B354" s="19">
        <v>45418</v>
      </c>
      <c r="C354" s="7">
        <v>360</v>
      </c>
      <c r="D354" s="19">
        <v>45747</v>
      </c>
      <c r="E354" s="7">
        <v>10</v>
      </c>
      <c r="F354" s="30">
        <v>229007</v>
      </c>
      <c r="G354" s="30">
        <v>215277.77930368323</v>
      </c>
      <c r="H354" s="28">
        <v>236089.6907216495</v>
      </c>
      <c r="I354" s="7">
        <v>97</v>
      </c>
      <c r="J354" s="7" t="s">
        <v>65</v>
      </c>
      <c r="K354" s="7">
        <v>757</v>
      </c>
      <c r="L354" s="7">
        <v>24</v>
      </c>
      <c r="M354" s="7" t="s">
        <v>59</v>
      </c>
      <c r="N354" s="10">
        <v>5.9993846296026748E-2</v>
      </c>
      <c r="O354" s="7">
        <v>0.35</v>
      </c>
      <c r="P354" s="7">
        <v>0.27</v>
      </c>
    </row>
    <row r="355" spans="1:16" x14ac:dyDescent="0.15">
      <c r="A355" s="7">
        <v>1351</v>
      </c>
      <c r="B355" s="19">
        <v>45293</v>
      </c>
      <c r="C355" s="7">
        <v>360</v>
      </c>
      <c r="D355" s="19">
        <v>45747</v>
      </c>
      <c r="E355" s="7">
        <v>14</v>
      </c>
      <c r="F355" s="30">
        <v>235400</v>
      </c>
      <c r="G355" s="30">
        <v>216727.97398335452</v>
      </c>
      <c r="H355" s="28">
        <v>245208.33333333334</v>
      </c>
      <c r="I355" s="7">
        <v>96</v>
      </c>
      <c r="J355" s="7" t="s">
        <v>68</v>
      </c>
      <c r="K355" s="7">
        <v>737</v>
      </c>
      <c r="L355" s="7">
        <v>14</v>
      </c>
      <c r="M355" s="7" t="s">
        <v>59</v>
      </c>
      <c r="N355" s="10">
        <v>5.4806317044300314E-2</v>
      </c>
      <c r="O355" s="7">
        <v>0.3</v>
      </c>
      <c r="P355" s="7">
        <v>0.45</v>
      </c>
    </row>
    <row r="356" spans="1:16" x14ac:dyDescent="0.15">
      <c r="A356" s="7">
        <v>1352</v>
      </c>
      <c r="B356" s="19">
        <v>45416</v>
      </c>
      <c r="C356" s="7">
        <v>360</v>
      </c>
      <c r="D356" s="19">
        <v>45747</v>
      </c>
      <c r="E356" s="7">
        <v>10</v>
      </c>
      <c r="F356" s="30">
        <v>560300</v>
      </c>
      <c r="G356" s="30">
        <v>521001.82219086122</v>
      </c>
      <c r="H356" s="28">
        <v>583645.83333333337</v>
      </c>
      <c r="I356" s="7">
        <v>96</v>
      </c>
      <c r="J356" s="7" t="s">
        <v>72</v>
      </c>
      <c r="K356" s="7">
        <v>779</v>
      </c>
      <c r="L356" s="7">
        <v>31</v>
      </c>
      <c r="M356" s="7" t="s">
        <v>59</v>
      </c>
      <c r="N356" s="10">
        <v>7.531568482514174E-2</v>
      </c>
      <c r="O356" s="7">
        <v>0.3</v>
      </c>
      <c r="P356" s="7">
        <v>0.32</v>
      </c>
    </row>
    <row r="357" spans="1:16" x14ac:dyDescent="0.15">
      <c r="A357" s="7">
        <v>1353</v>
      </c>
      <c r="B357" s="19">
        <v>45407</v>
      </c>
      <c r="C357" s="7">
        <v>360</v>
      </c>
      <c r="D357" s="19">
        <v>45747</v>
      </c>
      <c r="E357" s="7">
        <v>11</v>
      </c>
      <c r="F357" s="30">
        <v>464758</v>
      </c>
      <c r="G357" s="30">
        <v>427378.4393816042</v>
      </c>
      <c r="H357" s="28">
        <v>499739.78494623653</v>
      </c>
      <c r="I357" s="7">
        <v>93</v>
      </c>
      <c r="J357" s="7" t="s">
        <v>69</v>
      </c>
      <c r="K357" s="7">
        <v>604</v>
      </c>
      <c r="L357" s="7">
        <v>27</v>
      </c>
      <c r="M357" s="7" t="s">
        <v>59</v>
      </c>
      <c r="N357" s="10">
        <v>7.9626674235202491E-2</v>
      </c>
      <c r="O357" s="7">
        <v>0.25</v>
      </c>
      <c r="P357" s="7">
        <v>0.4</v>
      </c>
    </row>
    <row r="358" spans="1:16" x14ac:dyDescent="0.15">
      <c r="A358" s="7">
        <v>1354</v>
      </c>
      <c r="B358" s="19">
        <v>45449</v>
      </c>
      <c r="C358" s="7">
        <v>360</v>
      </c>
      <c r="D358" s="19">
        <v>45747</v>
      </c>
      <c r="E358" s="7">
        <v>9</v>
      </c>
      <c r="F358" s="30">
        <v>788266</v>
      </c>
      <c r="G358" s="30">
        <v>750048.40083417716</v>
      </c>
      <c r="H358" s="28">
        <v>875851.11111111112</v>
      </c>
      <c r="I358" s="7">
        <v>90</v>
      </c>
      <c r="J358" s="7" t="s">
        <v>74</v>
      </c>
      <c r="K358" s="7">
        <v>840</v>
      </c>
      <c r="L358" s="7">
        <v>16</v>
      </c>
      <c r="M358" s="7" t="s">
        <v>59</v>
      </c>
      <c r="N358" s="10">
        <v>5.0307318409908167E-2</v>
      </c>
      <c r="O358" s="7">
        <v>0.25</v>
      </c>
      <c r="P358" s="7">
        <v>0.26</v>
      </c>
    </row>
    <row r="359" spans="1:16" x14ac:dyDescent="0.15">
      <c r="A359" s="7">
        <v>1355</v>
      </c>
      <c r="B359" s="19">
        <v>45303</v>
      </c>
      <c r="C359" s="7">
        <v>360</v>
      </c>
      <c r="D359" s="19">
        <v>45747</v>
      </c>
      <c r="E359" s="7">
        <v>14</v>
      </c>
      <c r="F359" s="30">
        <v>145887</v>
      </c>
      <c r="G359" s="30">
        <v>134451.80661512297</v>
      </c>
      <c r="H359" s="28">
        <v>165780.68181818182</v>
      </c>
      <c r="I359" s="7">
        <v>88</v>
      </c>
      <c r="J359" s="7" t="s">
        <v>60</v>
      </c>
      <c r="K359" s="7">
        <v>735</v>
      </c>
      <c r="L359" s="7">
        <v>47</v>
      </c>
      <c r="M359" s="7" t="s">
        <v>59</v>
      </c>
      <c r="N359" s="10">
        <v>5.3736177054945274E-2</v>
      </c>
      <c r="O359" s="7">
        <v>0.12</v>
      </c>
      <c r="P359" s="7">
        <v>0.3</v>
      </c>
    </row>
    <row r="360" spans="1:16" x14ac:dyDescent="0.15">
      <c r="A360" s="7">
        <v>1356</v>
      </c>
      <c r="B360" s="19">
        <v>45467</v>
      </c>
      <c r="C360" s="7">
        <v>360</v>
      </c>
      <c r="D360" s="19">
        <v>45747</v>
      </c>
      <c r="E360" s="7">
        <v>9</v>
      </c>
      <c r="F360" s="30">
        <v>467586</v>
      </c>
      <c r="G360" s="30">
        <v>438430.06887749792</v>
      </c>
      <c r="H360" s="28">
        <v>482047.42268041236</v>
      </c>
      <c r="I360" s="7">
        <v>97</v>
      </c>
      <c r="J360" s="7" t="s">
        <v>71</v>
      </c>
      <c r="K360" s="7">
        <v>683</v>
      </c>
      <c r="L360" s="7">
        <v>30</v>
      </c>
      <c r="M360" s="7" t="s">
        <v>59</v>
      </c>
      <c r="N360" s="10">
        <v>7.4065102384168732E-2</v>
      </c>
      <c r="O360" s="7">
        <v>0.35</v>
      </c>
      <c r="P360" s="7">
        <v>0.41</v>
      </c>
    </row>
    <row r="361" spans="1:16" x14ac:dyDescent="0.15">
      <c r="A361" s="7">
        <v>1357</v>
      </c>
      <c r="B361" s="19">
        <v>45384</v>
      </c>
      <c r="C361" s="7">
        <v>360</v>
      </c>
      <c r="D361" s="19">
        <v>45747</v>
      </c>
      <c r="E361" s="7">
        <v>11</v>
      </c>
      <c r="F361" s="30">
        <v>214076</v>
      </c>
      <c r="G361" s="30">
        <v>199034.6717560229</v>
      </c>
      <c r="H361" s="28">
        <v>237862.22222222222</v>
      </c>
      <c r="I361" s="7">
        <v>90</v>
      </c>
      <c r="J361" s="7" t="s">
        <v>61</v>
      </c>
      <c r="K361" s="7">
        <v>821</v>
      </c>
      <c r="L361" s="7">
        <v>40</v>
      </c>
      <c r="M361" s="7" t="s">
        <v>59</v>
      </c>
      <c r="N361" s="10">
        <v>6.60126041976863E-2</v>
      </c>
      <c r="O361" s="7">
        <v>0.25</v>
      </c>
      <c r="P361" s="7">
        <v>0.43</v>
      </c>
    </row>
    <row r="362" spans="1:16" x14ac:dyDescent="0.15">
      <c r="A362" s="7">
        <v>1358</v>
      </c>
      <c r="B362" s="19">
        <v>45455</v>
      </c>
      <c r="C362" s="7">
        <v>360</v>
      </c>
      <c r="D362" s="19">
        <v>45747</v>
      </c>
      <c r="E362" s="7">
        <v>9</v>
      </c>
      <c r="F362" s="30">
        <v>263417</v>
      </c>
      <c r="G362" s="30">
        <v>248151.74370581456</v>
      </c>
      <c r="H362" s="28">
        <v>286322.82608695648</v>
      </c>
      <c r="I362" s="7">
        <v>92</v>
      </c>
      <c r="J362" s="7" t="s">
        <v>64</v>
      </c>
      <c r="K362" s="7">
        <v>765</v>
      </c>
      <c r="L362" s="7">
        <v>21</v>
      </c>
      <c r="M362" s="7" t="s">
        <v>59</v>
      </c>
      <c r="N362" s="10">
        <v>6.679202846654228E-2</v>
      </c>
      <c r="O362" s="7">
        <v>0.25</v>
      </c>
      <c r="P362" s="7">
        <v>0.27</v>
      </c>
    </row>
    <row r="363" spans="1:16" x14ac:dyDescent="0.15">
      <c r="A363" s="7">
        <v>1359</v>
      </c>
      <c r="B363" s="19">
        <v>45466</v>
      </c>
      <c r="C363" s="7">
        <v>360</v>
      </c>
      <c r="D363" s="19">
        <v>45747</v>
      </c>
      <c r="E363" s="7">
        <v>9</v>
      </c>
      <c r="F363" s="30">
        <v>196800</v>
      </c>
      <c r="G363" s="30">
        <v>184037.76763871146</v>
      </c>
      <c r="H363" s="28">
        <v>209361.70212765958</v>
      </c>
      <c r="I363" s="7">
        <v>94</v>
      </c>
      <c r="J363" s="7" t="s">
        <v>60</v>
      </c>
      <c r="K363" s="7">
        <v>640</v>
      </c>
      <c r="L363" s="7">
        <v>42</v>
      </c>
      <c r="M363" s="7" t="s">
        <v>59</v>
      </c>
      <c r="N363" s="10">
        <v>7.8096921868697225E-2</v>
      </c>
      <c r="O363" s="7">
        <v>0.25</v>
      </c>
      <c r="P363" s="7">
        <v>0.28999999999999998</v>
      </c>
    </row>
    <row r="364" spans="1:16" x14ac:dyDescent="0.15">
      <c r="A364" s="7">
        <v>1360</v>
      </c>
      <c r="B364" s="19">
        <v>45309</v>
      </c>
      <c r="C364" s="7">
        <v>360</v>
      </c>
      <c r="D364" s="19">
        <v>45747</v>
      </c>
      <c r="E364" s="7">
        <v>14</v>
      </c>
      <c r="F364" s="30">
        <v>600464</v>
      </c>
      <c r="G364" s="30">
        <v>541478.13086223195</v>
      </c>
      <c r="H364" s="28">
        <v>682345.45454545459</v>
      </c>
      <c r="I364" s="7">
        <v>88</v>
      </c>
      <c r="J364" s="7" t="s">
        <v>66</v>
      </c>
      <c r="K364" s="7">
        <v>642</v>
      </c>
      <c r="L364" s="7">
        <v>38</v>
      </c>
      <c r="M364" s="7" t="s">
        <v>59</v>
      </c>
      <c r="N364" s="10">
        <v>7.5358371700340904E-2</v>
      </c>
      <c r="O364" s="7">
        <v>0.12</v>
      </c>
      <c r="P364" s="7">
        <v>0.42</v>
      </c>
    </row>
    <row r="365" spans="1:16" x14ac:dyDescent="0.15">
      <c r="A365" s="7">
        <v>1361</v>
      </c>
      <c r="B365" s="19">
        <v>45293</v>
      </c>
      <c r="C365" s="7">
        <v>360</v>
      </c>
      <c r="D365" s="19">
        <v>45747</v>
      </c>
      <c r="E365" s="7">
        <v>14</v>
      </c>
      <c r="F365" s="30">
        <v>365786</v>
      </c>
      <c r="G365" s="30">
        <v>333789.49487654993</v>
      </c>
      <c r="H365" s="28">
        <v>389134.04255319154</v>
      </c>
      <c r="I365" s="7">
        <v>94</v>
      </c>
      <c r="J365" s="7" t="s">
        <v>67</v>
      </c>
      <c r="K365" s="7">
        <v>676</v>
      </c>
      <c r="L365" s="7">
        <v>1</v>
      </c>
      <c r="M365" s="7" t="s">
        <v>59</v>
      </c>
      <c r="N365" s="10">
        <v>6.38935722025189E-2</v>
      </c>
      <c r="O365" s="7">
        <v>0.25</v>
      </c>
      <c r="P365" s="7">
        <v>0.36</v>
      </c>
    </row>
    <row r="366" spans="1:16" x14ac:dyDescent="0.15">
      <c r="A366" s="7">
        <v>1362</v>
      </c>
      <c r="B366" s="19">
        <v>45294</v>
      </c>
      <c r="C366" s="7">
        <v>360</v>
      </c>
      <c r="D366" s="19">
        <v>45747</v>
      </c>
      <c r="E366" s="7">
        <v>14</v>
      </c>
      <c r="F366" s="30">
        <v>537629</v>
      </c>
      <c r="G366" s="30">
        <v>483246.57736184308</v>
      </c>
      <c r="H366" s="28">
        <v>647745.78313253017</v>
      </c>
      <c r="I366" s="7">
        <v>83</v>
      </c>
      <c r="J366" s="7" t="s">
        <v>61</v>
      </c>
      <c r="K366" s="7">
        <v>729</v>
      </c>
      <c r="L366" s="7">
        <v>15</v>
      </c>
      <c r="M366" s="7" t="s">
        <v>59</v>
      </c>
      <c r="N366" s="10">
        <v>7.8381978007579345E-2</v>
      </c>
      <c r="O366" s="7">
        <v>0.12</v>
      </c>
      <c r="P366" s="7">
        <v>0.42</v>
      </c>
    </row>
    <row r="367" spans="1:16" x14ac:dyDescent="0.15">
      <c r="A367" s="7">
        <v>1363</v>
      </c>
      <c r="B367" s="19">
        <v>45323</v>
      </c>
      <c r="C367" s="7">
        <v>360</v>
      </c>
      <c r="D367" s="19">
        <v>45747</v>
      </c>
      <c r="E367" s="7">
        <v>13</v>
      </c>
      <c r="F367" s="30">
        <v>760502</v>
      </c>
      <c r="G367" s="30">
        <v>705685.16784345731</v>
      </c>
      <c r="H367" s="28">
        <v>784022.68041237118</v>
      </c>
      <c r="I367" s="7">
        <v>97</v>
      </c>
      <c r="J367" s="7" t="s">
        <v>62</v>
      </c>
      <c r="K367" s="7">
        <v>691</v>
      </c>
      <c r="L367" s="7">
        <v>41</v>
      </c>
      <c r="M367" s="7" t="s">
        <v>59</v>
      </c>
      <c r="N367" s="10">
        <v>5.286393711936966E-2</v>
      </c>
      <c r="O367" s="7">
        <v>0.35</v>
      </c>
      <c r="P367" s="7">
        <v>0.23</v>
      </c>
    </row>
    <row r="368" spans="1:16" x14ac:dyDescent="0.15">
      <c r="A368" s="7">
        <v>1364</v>
      </c>
      <c r="B368" s="19">
        <v>45353</v>
      </c>
      <c r="C368" s="7">
        <v>360</v>
      </c>
      <c r="D368" s="19">
        <v>45747</v>
      </c>
      <c r="E368" s="7">
        <v>12</v>
      </c>
      <c r="F368" s="30">
        <v>343781</v>
      </c>
      <c r="G368" s="30">
        <v>315046.54236818606</v>
      </c>
      <c r="H368" s="28">
        <v>373675</v>
      </c>
      <c r="I368" s="7">
        <v>92</v>
      </c>
      <c r="J368" s="7" t="s">
        <v>71</v>
      </c>
      <c r="K368" s="7">
        <v>746</v>
      </c>
      <c r="L368" s="7">
        <v>27</v>
      </c>
      <c r="M368" s="7" t="s">
        <v>59</v>
      </c>
      <c r="N368" s="10">
        <v>7.4607686121904576E-2</v>
      </c>
      <c r="O368" s="7">
        <v>0.25</v>
      </c>
      <c r="P368" s="7">
        <v>0.28999999999999998</v>
      </c>
    </row>
    <row r="369" spans="1:16" x14ac:dyDescent="0.15">
      <c r="A369" s="7">
        <v>1365</v>
      </c>
      <c r="B369" s="19">
        <v>45415</v>
      </c>
      <c r="C369" s="7">
        <v>360</v>
      </c>
      <c r="D369" s="19">
        <v>45747</v>
      </c>
      <c r="E369" s="7">
        <v>10</v>
      </c>
      <c r="F369" s="30">
        <v>729028</v>
      </c>
      <c r="G369" s="30">
        <v>686867.23226986872</v>
      </c>
      <c r="H369" s="28">
        <v>847706.97674418602</v>
      </c>
      <c r="I369" s="7">
        <v>86</v>
      </c>
      <c r="J369" s="7" t="s">
        <v>71</v>
      </c>
      <c r="K369" s="7">
        <v>754</v>
      </c>
      <c r="L369" s="7">
        <v>2</v>
      </c>
      <c r="M369" s="7" t="s">
        <v>59</v>
      </c>
      <c r="N369" s="10">
        <v>5.6670616983859355E-2</v>
      </c>
      <c r="O369" s="7">
        <v>0.12</v>
      </c>
      <c r="P369" s="7">
        <v>0.25</v>
      </c>
    </row>
    <row r="370" spans="1:16" x14ac:dyDescent="0.15">
      <c r="A370" s="7">
        <v>1366</v>
      </c>
      <c r="B370" s="19">
        <v>45405</v>
      </c>
      <c r="C370" s="7">
        <v>360</v>
      </c>
      <c r="D370" s="19">
        <v>45747</v>
      </c>
      <c r="E370" s="7">
        <v>11</v>
      </c>
      <c r="F370" s="30">
        <v>107584</v>
      </c>
      <c r="G370" s="30">
        <v>101169.36394076914</v>
      </c>
      <c r="H370" s="28">
        <v>110911.34020618557</v>
      </c>
      <c r="I370" s="7">
        <v>97</v>
      </c>
      <c r="J370" s="7" t="s">
        <v>68</v>
      </c>
      <c r="K370" s="7">
        <v>632</v>
      </c>
      <c r="L370" s="7">
        <v>44</v>
      </c>
      <c r="M370" s="7" t="s">
        <v>59</v>
      </c>
      <c r="N370" s="10">
        <v>5.0851945813170277E-2</v>
      </c>
      <c r="O370" s="7">
        <v>0.35</v>
      </c>
      <c r="P370" s="7">
        <v>0.35</v>
      </c>
    </row>
    <row r="371" spans="1:16" x14ac:dyDescent="0.15">
      <c r="A371" s="7">
        <v>1367</v>
      </c>
      <c r="B371" s="19">
        <v>45452</v>
      </c>
      <c r="C371" s="7">
        <v>360</v>
      </c>
      <c r="D371" s="19">
        <v>45747</v>
      </c>
      <c r="E371" s="7">
        <v>9</v>
      </c>
      <c r="F371" s="30">
        <v>376947</v>
      </c>
      <c r="G371" s="30">
        <v>358138.18737589376</v>
      </c>
      <c r="H371" s="28">
        <v>401007.44680851063</v>
      </c>
      <c r="I371" s="7">
        <v>94</v>
      </c>
      <c r="J371" s="7" t="s">
        <v>72</v>
      </c>
      <c r="K371" s="7">
        <v>847</v>
      </c>
      <c r="L371" s="7">
        <v>10</v>
      </c>
      <c r="M371" s="7" t="s">
        <v>59</v>
      </c>
      <c r="N371" s="10">
        <v>5.2857427443461204E-2</v>
      </c>
      <c r="O371" s="7">
        <v>0.25</v>
      </c>
      <c r="P371" s="7">
        <v>0.4</v>
      </c>
    </row>
    <row r="372" spans="1:16" x14ac:dyDescent="0.15">
      <c r="A372" s="7">
        <v>1368</v>
      </c>
      <c r="B372" s="19">
        <v>45313</v>
      </c>
      <c r="C372" s="7">
        <v>360</v>
      </c>
      <c r="D372" s="19">
        <v>45747</v>
      </c>
      <c r="E372" s="7">
        <v>14</v>
      </c>
      <c r="F372" s="30">
        <v>768156</v>
      </c>
      <c r="G372" s="30">
        <v>703571.48191292444</v>
      </c>
      <c r="H372" s="28">
        <v>863096.62921348319</v>
      </c>
      <c r="I372" s="7">
        <v>89</v>
      </c>
      <c r="J372" s="7" t="s">
        <v>61</v>
      </c>
      <c r="K372" s="7">
        <v>697</v>
      </c>
      <c r="L372" s="7">
        <v>14</v>
      </c>
      <c r="M372" s="7" t="s">
        <v>59</v>
      </c>
      <c r="N372" s="10">
        <v>6.0155786660457504E-2</v>
      </c>
      <c r="O372" s="7">
        <v>0.12</v>
      </c>
      <c r="P372" s="7">
        <v>0.32</v>
      </c>
    </row>
    <row r="373" spans="1:16" x14ac:dyDescent="0.15">
      <c r="A373" s="7">
        <v>1369</v>
      </c>
      <c r="B373" s="19">
        <v>45356</v>
      </c>
      <c r="C373" s="7">
        <v>360</v>
      </c>
      <c r="D373" s="19">
        <v>45747</v>
      </c>
      <c r="E373" s="7">
        <v>12</v>
      </c>
      <c r="F373" s="30">
        <v>572663</v>
      </c>
      <c r="G373" s="30">
        <v>524671.1998287132</v>
      </c>
      <c r="H373" s="28">
        <v>673721.17647058831</v>
      </c>
      <c r="I373" s="7">
        <v>85</v>
      </c>
      <c r="J373" s="7" t="s">
        <v>66</v>
      </c>
      <c r="K373" s="7">
        <v>623</v>
      </c>
      <c r="L373" s="7">
        <v>28</v>
      </c>
      <c r="M373" s="7" t="s">
        <v>59</v>
      </c>
      <c r="N373" s="10">
        <v>7.4876898460315144E-2</v>
      </c>
      <c r="O373" s="7">
        <v>0.12</v>
      </c>
      <c r="P373" s="7">
        <v>0.36</v>
      </c>
    </row>
    <row r="374" spans="1:16" x14ac:dyDescent="0.15">
      <c r="A374" s="7">
        <v>1370</v>
      </c>
      <c r="B374" s="19">
        <v>45333</v>
      </c>
      <c r="C374" s="7">
        <v>360</v>
      </c>
      <c r="D374" s="19">
        <v>45747</v>
      </c>
      <c r="E374" s="7">
        <v>13</v>
      </c>
      <c r="F374" s="30">
        <v>364973</v>
      </c>
      <c r="G374" s="30">
        <v>337197.8379764643</v>
      </c>
      <c r="H374" s="28">
        <v>401069.23076923075</v>
      </c>
      <c r="I374" s="7">
        <v>91</v>
      </c>
      <c r="J374" s="7" t="s">
        <v>66</v>
      </c>
      <c r="K374" s="7">
        <v>635</v>
      </c>
      <c r="L374" s="7">
        <v>12</v>
      </c>
      <c r="M374" s="7" t="s">
        <v>59</v>
      </c>
      <c r="N374" s="10">
        <v>5.7787375073091035E-2</v>
      </c>
      <c r="O374" s="7">
        <v>0.25</v>
      </c>
      <c r="P374" s="7">
        <v>0.26</v>
      </c>
    </row>
    <row r="375" spans="1:16" x14ac:dyDescent="0.15">
      <c r="A375" s="7">
        <v>1371</v>
      </c>
      <c r="B375" s="19">
        <v>45331</v>
      </c>
      <c r="C375" s="7">
        <v>360</v>
      </c>
      <c r="D375" s="19">
        <v>45747</v>
      </c>
      <c r="E375" s="7">
        <v>13</v>
      </c>
      <c r="F375" s="30">
        <v>607547</v>
      </c>
      <c r="G375" s="30">
        <v>562845.11932464573</v>
      </c>
      <c r="H375" s="28">
        <v>682637.07865168538</v>
      </c>
      <c r="I375" s="7">
        <v>89</v>
      </c>
      <c r="J375" s="7" t="s">
        <v>69</v>
      </c>
      <c r="K375" s="7">
        <v>757</v>
      </c>
      <c r="L375" s="7">
        <v>18</v>
      </c>
      <c r="M375" s="7" t="s">
        <v>59</v>
      </c>
      <c r="N375" s="10">
        <v>5.4711769914190737E-2</v>
      </c>
      <c r="O375" s="7">
        <v>0.12</v>
      </c>
      <c r="P375" s="7">
        <v>0.38</v>
      </c>
    </row>
    <row r="376" spans="1:16" x14ac:dyDescent="0.15">
      <c r="A376" s="7">
        <v>1372</v>
      </c>
      <c r="B376" s="19">
        <v>45378</v>
      </c>
      <c r="C376" s="7">
        <v>360</v>
      </c>
      <c r="D376" s="19">
        <v>45747</v>
      </c>
      <c r="E376" s="7">
        <v>12</v>
      </c>
      <c r="F376" s="30">
        <v>153729</v>
      </c>
      <c r="G376" s="30">
        <v>140824.6482293529</v>
      </c>
      <c r="H376" s="28">
        <v>167096.73913043478</v>
      </c>
      <c r="I376" s="7">
        <v>92</v>
      </c>
      <c r="J376" s="7" t="s">
        <v>62</v>
      </c>
      <c r="K376" s="7">
        <v>690</v>
      </c>
      <c r="L376" s="7">
        <v>46</v>
      </c>
      <c r="M376" s="7" t="s">
        <v>59</v>
      </c>
      <c r="N376" s="10">
        <v>7.5044376712203639E-2</v>
      </c>
      <c r="O376" s="7">
        <v>0.25</v>
      </c>
      <c r="P376" s="7">
        <v>0.3</v>
      </c>
    </row>
    <row r="377" spans="1:16" x14ac:dyDescent="0.15">
      <c r="A377" s="7">
        <v>1373</v>
      </c>
      <c r="B377" s="19">
        <v>45346</v>
      </c>
      <c r="C377" s="7">
        <v>360</v>
      </c>
      <c r="D377" s="19">
        <v>45747</v>
      </c>
      <c r="E377" s="7">
        <v>13</v>
      </c>
      <c r="F377" s="30">
        <v>482640</v>
      </c>
      <c r="G377" s="30">
        <v>448022.09730470937</v>
      </c>
      <c r="H377" s="28">
        <v>502750</v>
      </c>
      <c r="I377" s="7">
        <v>96</v>
      </c>
      <c r="J377" s="7" t="s">
        <v>70</v>
      </c>
      <c r="K377" s="7">
        <v>842</v>
      </c>
      <c r="L377" s="7">
        <v>29</v>
      </c>
      <c r="M377" s="7" t="s">
        <v>59</v>
      </c>
      <c r="N377" s="10">
        <v>5.2425041104449337E-2</v>
      </c>
      <c r="O377" s="7">
        <v>0.3</v>
      </c>
      <c r="P377" s="7">
        <v>0.31</v>
      </c>
    </row>
    <row r="378" spans="1:16" x14ac:dyDescent="0.15">
      <c r="A378" s="7">
        <v>1374</v>
      </c>
      <c r="B378" s="19">
        <v>45345</v>
      </c>
      <c r="C378" s="7">
        <v>360</v>
      </c>
      <c r="D378" s="19">
        <v>45747</v>
      </c>
      <c r="E378" s="7">
        <v>13</v>
      </c>
      <c r="F378" s="30">
        <v>588566</v>
      </c>
      <c r="G378" s="30">
        <v>540162.6823500474</v>
      </c>
      <c r="H378" s="28">
        <v>632866.66666666663</v>
      </c>
      <c r="I378" s="7">
        <v>93</v>
      </c>
      <c r="J378" s="7" t="s">
        <v>62</v>
      </c>
      <c r="K378" s="7">
        <v>740</v>
      </c>
      <c r="L378" s="7">
        <v>17</v>
      </c>
      <c r="M378" s="7" t="s">
        <v>59</v>
      </c>
      <c r="N378" s="10">
        <v>6.5082518985461704E-2</v>
      </c>
      <c r="O378" s="7">
        <v>0.25</v>
      </c>
      <c r="P378" s="7">
        <v>0.37</v>
      </c>
    </row>
    <row r="379" spans="1:16" x14ac:dyDescent="0.15">
      <c r="A379" s="7">
        <v>1375</v>
      </c>
      <c r="B379" s="19">
        <v>45393</v>
      </c>
      <c r="C379" s="7">
        <v>360</v>
      </c>
      <c r="D379" s="19">
        <v>45747</v>
      </c>
      <c r="E379" s="7">
        <v>11</v>
      </c>
      <c r="F379" s="30">
        <v>562938</v>
      </c>
      <c r="G379" s="30">
        <v>517846.25396761904</v>
      </c>
      <c r="H379" s="28">
        <v>605309.67741935479</v>
      </c>
      <c r="I379" s="7">
        <v>93</v>
      </c>
      <c r="J379" s="7" t="s">
        <v>73</v>
      </c>
      <c r="K379" s="7">
        <v>839</v>
      </c>
      <c r="L379" s="7">
        <v>35</v>
      </c>
      <c r="M379" s="7" t="s">
        <v>59</v>
      </c>
      <c r="N379" s="10">
        <v>7.9199017177438005E-2</v>
      </c>
      <c r="O379" s="7">
        <v>0.25</v>
      </c>
      <c r="P379" s="7">
        <v>0.44</v>
      </c>
    </row>
    <row r="380" spans="1:16" x14ac:dyDescent="0.15">
      <c r="A380" s="7">
        <v>1376</v>
      </c>
      <c r="B380" s="19">
        <v>45378</v>
      </c>
      <c r="C380" s="7">
        <v>360</v>
      </c>
      <c r="D380" s="19">
        <v>45747</v>
      </c>
      <c r="E380" s="7">
        <v>12</v>
      </c>
      <c r="F380" s="30">
        <v>341814</v>
      </c>
      <c r="G380" s="30">
        <v>316921.42416092585</v>
      </c>
      <c r="H380" s="28">
        <v>352385.56701030931</v>
      </c>
      <c r="I380" s="7">
        <v>97</v>
      </c>
      <c r="J380" s="7" t="s">
        <v>61</v>
      </c>
      <c r="K380" s="7">
        <v>604</v>
      </c>
      <c r="L380" s="7">
        <v>41</v>
      </c>
      <c r="M380" s="7" t="s">
        <v>59</v>
      </c>
      <c r="N380" s="10">
        <v>6.11361200638443E-2</v>
      </c>
      <c r="O380" s="7">
        <v>0.35</v>
      </c>
      <c r="P380" s="7">
        <v>0.39</v>
      </c>
    </row>
    <row r="381" spans="1:16" x14ac:dyDescent="0.15">
      <c r="A381" s="7">
        <v>1377</v>
      </c>
      <c r="B381" s="19">
        <v>45341</v>
      </c>
      <c r="C381" s="7">
        <v>360</v>
      </c>
      <c r="D381" s="19">
        <v>45747</v>
      </c>
      <c r="E381" s="7">
        <v>13</v>
      </c>
      <c r="F381" s="30">
        <v>715460</v>
      </c>
      <c r="G381" s="30">
        <v>648541.1857680385</v>
      </c>
      <c r="H381" s="28">
        <v>777673.91304347827</v>
      </c>
      <c r="I381" s="7">
        <v>92</v>
      </c>
      <c r="J381" s="7" t="s">
        <v>72</v>
      </c>
      <c r="K381" s="7">
        <v>713</v>
      </c>
      <c r="L381" s="7">
        <v>1</v>
      </c>
      <c r="M381" s="7" t="s">
        <v>59</v>
      </c>
      <c r="N381" s="10">
        <v>7.7943776918244154E-2</v>
      </c>
      <c r="O381" s="7">
        <v>0.25</v>
      </c>
      <c r="P381" s="7">
        <v>0.2</v>
      </c>
    </row>
    <row r="382" spans="1:16" x14ac:dyDescent="0.15">
      <c r="A382" s="7">
        <v>1378</v>
      </c>
      <c r="B382" s="19">
        <v>45331</v>
      </c>
      <c r="C382" s="7">
        <v>360</v>
      </c>
      <c r="D382" s="19">
        <v>45747</v>
      </c>
      <c r="E382" s="7">
        <v>13</v>
      </c>
      <c r="F382" s="30">
        <v>597703</v>
      </c>
      <c r="G382" s="30">
        <v>553358.91835208132</v>
      </c>
      <c r="H382" s="28">
        <v>629161.05263157899</v>
      </c>
      <c r="I382" s="7">
        <v>95</v>
      </c>
      <c r="J382" s="7" t="s">
        <v>60</v>
      </c>
      <c r="K382" s="7">
        <v>768</v>
      </c>
      <c r="L382" s="7">
        <v>49</v>
      </c>
      <c r="M382" s="7" t="s">
        <v>59</v>
      </c>
      <c r="N382" s="10">
        <v>5.5463216503509251E-2</v>
      </c>
      <c r="O382" s="7">
        <v>0.3</v>
      </c>
      <c r="P382" s="7">
        <v>0.25</v>
      </c>
    </row>
    <row r="383" spans="1:16" x14ac:dyDescent="0.15">
      <c r="A383" s="7">
        <v>1379</v>
      </c>
      <c r="B383" s="19">
        <v>45361</v>
      </c>
      <c r="C383" s="7">
        <v>360</v>
      </c>
      <c r="D383" s="19">
        <v>45747</v>
      </c>
      <c r="E383" s="7">
        <v>12</v>
      </c>
      <c r="F383" s="30">
        <v>794412</v>
      </c>
      <c r="G383" s="30">
        <v>740259.86624550098</v>
      </c>
      <c r="H383" s="28">
        <v>934602.3529411765</v>
      </c>
      <c r="I383" s="7">
        <v>85</v>
      </c>
      <c r="J383" s="7" t="s">
        <v>73</v>
      </c>
      <c r="K383" s="7">
        <v>769</v>
      </c>
      <c r="L383" s="7">
        <v>24</v>
      </c>
      <c r="M383" s="7" t="s">
        <v>59</v>
      </c>
      <c r="N383" s="10">
        <v>5.5042004844331437E-2</v>
      </c>
      <c r="O383" s="7">
        <v>0.12</v>
      </c>
      <c r="P383" s="7">
        <v>0.33</v>
      </c>
    </row>
    <row r="384" spans="1:16" x14ac:dyDescent="0.15">
      <c r="A384" s="7">
        <v>1380</v>
      </c>
      <c r="B384" s="19">
        <v>45421</v>
      </c>
      <c r="C384" s="7">
        <v>360</v>
      </c>
      <c r="D384" s="19">
        <v>45747</v>
      </c>
      <c r="E384" s="7">
        <v>10</v>
      </c>
      <c r="F384" s="30">
        <v>321539</v>
      </c>
      <c r="G384" s="30">
        <v>304243.68307484494</v>
      </c>
      <c r="H384" s="28">
        <v>331483.50515463919</v>
      </c>
      <c r="I384" s="7">
        <v>97</v>
      </c>
      <c r="J384" s="7" t="s">
        <v>68</v>
      </c>
      <c r="K384" s="7">
        <v>808</v>
      </c>
      <c r="L384" s="7">
        <v>0</v>
      </c>
      <c r="M384" s="7" t="s">
        <v>59</v>
      </c>
      <c r="N384" s="10">
        <v>5.0175012005076208E-2</v>
      </c>
      <c r="O384" s="7">
        <v>0.35</v>
      </c>
      <c r="P384" s="7">
        <v>0.39</v>
      </c>
    </row>
    <row r="385" spans="1:16" x14ac:dyDescent="0.15">
      <c r="A385" s="7">
        <v>1381</v>
      </c>
      <c r="B385" s="19">
        <v>45385</v>
      </c>
      <c r="C385" s="7">
        <v>360</v>
      </c>
      <c r="D385" s="19">
        <v>45747</v>
      </c>
      <c r="E385" s="7">
        <v>11</v>
      </c>
      <c r="F385" s="30">
        <v>134251</v>
      </c>
      <c r="G385" s="30">
        <v>125147.0447544426</v>
      </c>
      <c r="H385" s="28">
        <v>142820.21276595746</v>
      </c>
      <c r="I385" s="7">
        <v>94</v>
      </c>
      <c r="J385" s="7" t="s">
        <v>60</v>
      </c>
      <c r="K385" s="7">
        <v>699</v>
      </c>
      <c r="L385" s="7">
        <v>25</v>
      </c>
      <c r="M385" s="7" t="s">
        <v>59</v>
      </c>
      <c r="N385" s="10">
        <v>6.2617451690626921E-2</v>
      </c>
      <c r="O385" s="7">
        <v>0.25</v>
      </c>
      <c r="P385" s="7">
        <v>0.24</v>
      </c>
    </row>
    <row r="386" spans="1:16" x14ac:dyDescent="0.15">
      <c r="A386" s="7">
        <v>1382</v>
      </c>
      <c r="B386" s="19">
        <v>45348</v>
      </c>
      <c r="C386" s="7">
        <v>360</v>
      </c>
      <c r="D386" s="19">
        <v>45747</v>
      </c>
      <c r="E386" s="7">
        <v>13</v>
      </c>
      <c r="F386" s="30">
        <v>105546</v>
      </c>
      <c r="G386" s="30">
        <v>96300.71888438538</v>
      </c>
      <c r="H386" s="28">
        <v>121317.24137931035</v>
      </c>
      <c r="I386" s="7">
        <v>87</v>
      </c>
      <c r="J386" s="7" t="s">
        <v>64</v>
      </c>
      <c r="K386" s="7">
        <v>613</v>
      </c>
      <c r="L386" s="7">
        <v>6</v>
      </c>
      <c r="M386" s="7" t="s">
        <v>59</v>
      </c>
      <c r="N386" s="10">
        <v>7.1262986576953277E-2</v>
      </c>
      <c r="O386" s="7">
        <v>0.12</v>
      </c>
      <c r="P386" s="7">
        <v>0.38</v>
      </c>
    </row>
    <row r="387" spans="1:16" x14ac:dyDescent="0.15">
      <c r="A387" s="7">
        <v>1383</v>
      </c>
      <c r="B387" s="19">
        <v>45423</v>
      </c>
      <c r="C387" s="7">
        <v>360</v>
      </c>
      <c r="D387" s="19">
        <v>45747</v>
      </c>
      <c r="E387" s="7">
        <v>10</v>
      </c>
      <c r="F387" s="30">
        <v>796802</v>
      </c>
      <c r="G387" s="30">
        <v>740869.23993281124</v>
      </c>
      <c r="H387" s="28">
        <v>885335.5555555555</v>
      </c>
      <c r="I387" s="7">
        <v>90</v>
      </c>
      <c r="J387" s="7" t="s">
        <v>63</v>
      </c>
      <c r="K387" s="7">
        <v>799</v>
      </c>
      <c r="L387" s="7">
        <v>35</v>
      </c>
      <c r="M387" s="7" t="s">
        <v>59</v>
      </c>
      <c r="N387" s="10">
        <v>7.5401465912522614E-2</v>
      </c>
      <c r="O387" s="7">
        <v>0.25</v>
      </c>
      <c r="P387" s="7">
        <v>0.31</v>
      </c>
    </row>
    <row r="388" spans="1:16" x14ac:dyDescent="0.15">
      <c r="A388" s="7">
        <v>1384</v>
      </c>
      <c r="B388" s="19">
        <v>45355</v>
      </c>
      <c r="C388" s="7">
        <v>360</v>
      </c>
      <c r="D388" s="19">
        <v>45747</v>
      </c>
      <c r="E388" s="7">
        <v>12</v>
      </c>
      <c r="F388" s="30">
        <v>404980</v>
      </c>
      <c r="G388" s="30">
        <v>378302.103979006</v>
      </c>
      <c r="H388" s="28">
        <v>465494.25287356321</v>
      </c>
      <c r="I388" s="7">
        <v>87</v>
      </c>
      <c r="J388" s="7" t="s">
        <v>66</v>
      </c>
      <c r="K388" s="7">
        <v>692</v>
      </c>
      <c r="L388" s="7">
        <v>31</v>
      </c>
      <c r="M388" s="7" t="s">
        <v>59</v>
      </c>
      <c r="N388" s="10">
        <v>5.1974766310928795E-2</v>
      </c>
      <c r="O388" s="7">
        <v>0.12</v>
      </c>
      <c r="P388" s="7">
        <v>0.31</v>
      </c>
    </row>
    <row r="389" spans="1:16" x14ac:dyDescent="0.15">
      <c r="A389" s="7">
        <v>1385</v>
      </c>
      <c r="B389" s="19">
        <v>45459</v>
      </c>
      <c r="C389" s="7">
        <v>360</v>
      </c>
      <c r="D389" s="19">
        <v>45747</v>
      </c>
      <c r="E389" s="7">
        <v>9</v>
      </c>
      <c r="F389" s="30">
        <v>727355</v>
      </c>
      <c r="G389" s="30">
        <v>684472.76603745518</v>
      </c>
      <c r="H389" s="28">
        <v>887018.29268292687</v>
      </c>
      <c r="I389" s="7">
        <v>82</v>
      </c>
      <c r="J389" s="7" t="s">
        <v>62</v>
      </c>
      <c r="K389" s="7">
        <v>753</v>
      </c>
      <c r="L389" s="7">
        <v>17</v>
      </c>
      <c r="M389" s="7" t="s">
        <v>59</v>
      </c>
      <c r="N389" s="10">
        <v>6.847182182578726E-2</v>
      </c>
      <c r="O389" s="7">
        <v>0.12</v>
      </c>
      <c r="P389" s="7">
        <v>0.25</v>
      </c>
    </row>
    <row r="390" spans="1:16" x14ac:dyDescent="0.15">
      <c r="A390" s="7">
        <v>1386</v>
      </c>
      <c r="B390" s="19">
        <v>45408</v>
      </c>
      <c r="C390" s="7">
        <v>360</v>
      </c>
      <c r="D390" s="19">
        <v>45747</v>
      </c>
      <c r="E390" s="7">
        <v>11</v>
      </c>
      <c r="F390" s="30">
        <v>242929</v>
      </c>
      <c r="G390" s="30">
        <v>226918.57806782963</v>
      </c>
      <c r="H390" s="28">
        <v>269921.11111111112</v>
      </c>
      <c r="I390" s="7">
        <v>90</v>
      </c>
      <c r="J390" s="7" t="s">
        <v>62</v>
      </c>
      <c r="K390" s="7">
        <v>716</v>
      </c>
      <c r="L390" s="7">
        <v>16</v>
      </c>
      <c r="M390" s="7" t="s">
        <v>59</v>
      </c>
      <c r="N390" s="10">
        <v>5.9936655376910418E-2</v>
      </c>
      <c r="O390" s="7">
        <v>0.25</v>
      </c>
      <c r="P390" s="7">
        <v>0.36</v>
      </c>
    </row>
    <row r="391" spans="1:16" x14ac:dyDescent="0.15">
      <c r="A391" s="7">
        <v>1387</v>
      </c>
      <c r="B391" s="19">
        <v>45430</v>
      </c>
      <c r="C391" s="7">
        <v>360</v>
      </c>
      <c r="D391" s="19">
        <v>45747</v>
      </c>
      <c r="E391" s="7">
        <v>10</v>
      </c>
      <c r="F391" s="30">
        <v>560240</v>
      </c>
      <c r="G391" s="30">
        <v>524855.75645767234</v>
      </c>
      <c r="H391" s="28">
        <v>602408.60215053766</v>
      </c>
      <c r="I391" s="7">
        <v>93</v>
      </c>
      <c r="J391" s="7" t="s">
        <v>62</v>
      </c>
      <c r="K391" s="7">
        <v>671</v>
      </c>
      <c r="L391" s="7">
        <v>31</v>
      </c>
      <c r="M391" s="7" t="s">
        <v>59</v>
      </c>
      <c r="N391" s="10">
        <v>6.4927425150256804E-2</v>
      </c>
      <c r="O391" s="7">
        <v>0.25</v>
      </c>
      <c r="P391" s="7">
        <v>0.28000000000000003</v>
      </c>
    </row>
    <row r="392" spans="1:16" x14ac:dyDescent="0.15">
      <c r="A392" s="7">
        <v>1388</v>
      </c>
      <c r="B392" s="19">
        <v>45450</v>
      </c>
      <c r="C392" s="7">
        <v>360</v>
      </c>
      <c r="D392" s="19">
        <v>45747</v>
      </c>
      <c r="E392" s="7">
        <v>9</v>
      </c>
      <c r="F392" s="30">
        <v>118770</v>
      </c>
      <c r="G392" s="30">
        <v>111777.45821241432</v>
      </c>
      <c r="H392" s="28">
        <v>148462.5</v>
      </c>
      <c r="I392" s="7">
        <v>80</v>
      </c>
      <c r="J392" s="7" t="s">
        <v>71</v>
      </c>
      <c r="K392" s="7">
        <v>643</v>
      </c>
      <c r="L392" s="7">
        <v>41</v>
      </c>
      <c r="M392" s="7" t="s">
        <v>59</v>
      </c>
      <c r="N392" s="10">
        <v>6.8335677628752492E-2</v>
      </c>
      <c r="O392" s="7">
        <v>0.12</v>
      </c>
      <c r="P392" s="7">
        <v>0.26</v>
      </c>
    </row>
    <row r="393" spans="1:16" x14ac:dyDescent="0.15">
      <c r="A393" s="7">
        <v>1389</v>
      </c>
      <c r="B393" s="19">
        <v>45378</v>
      </c>
      <c r="C393" s="7">
        <v>360</v>
      </c>
      <c r="D393" s="19">
        <v>45747</v>
      </c>
      <c r="E393" s="7">
        <v>12</v>
      </c>
      <c r="F393" s="30">
        <v>229173</v>
      </c>
      <c r="G393" s="30">
        <v>209161.17045158416</v>
      </c>
      <c r="H393" s="28">
        <v>279479.26829268294</v>
      </c>
      <c r="I393" s="7">
        <v>82</v>
      </c>
      <c r="J393" s="7" t="s">
        <v>67</v>
      </c>
      <c r="K393" s="7">
        <v>643</v>
      </c>
      <c r="L393" s="7">
        <v>3</v>
      </c>
      <c r="M393" s="7" t="s">
        <v>59</v>
      </c>
      <c r="N393" s="10">
        <v>7.912626635962948E-2</v>
      </c>
      <c r="O393" s="7">
        <v>0.12</v>
      </c>
      <c r="P393" s="7">
        <v>0.27</v>
      </c>
    </row>
    <row r="394" spans="1:16" x14ac:dyDescent="0.15">
      <c r="A394" s="7">
        <v>1390</v>
      </c>
      <c r="B394" s="19">
        <v>45333</v>
      </c>
      <c r="C394" s="7">
        <v>360</v>
      </c>
      <c r="D394" s="19">
        <v>45747</v>
      </c>
      <c r="E394" s="7">
        <v>13</v>
      </c>
      <c r="F394" s="30">
        <v>415287</v>
      </c>
      <c r="G394" s="30">
        <v>376595.5893538926</v>
      </c>
      <c r="H394" s="28">
        <v>441794.68085106387</v>
      </c>
      <c r="I394" s="7">
        <v>94</v>
      </c>
      <c r="J394" s="7" t="s">
        <v>72</v>
      </c>
      <c r="K394" s="7">
        <v>686</v>
      </c>
      <c r="L394" s="7">
        <v>40</v>
      </c>
      <c r="M394" s="7" t="s">
        <v>59</v>
      </c>
      <c r="N394" s="10">
        <v>7.7538168866746096E-2</v>
      </c>
      <c r="O394" s="7">
        <v>0.25</v>
      </c>
      <c r="P394" s="7">
        <v>0.27</v>
      </c>
    </row>
    <row r="395" spans="1:16" x14ac:dyDescent="0.15">
      <c r="A395" s="7">
        <v>1391</v>
      </c>
      <c r="B395" s="19">
        <v>45334</v>
      </c>
      <c r="C395" s="7">
        <v>360</v>
      </c>
      <c r="D395" s="19">
        <v>45747</v>
      </c>
      <c r="E395" s="7">
        <v>13</v>
      </c>
      <c r="F395" s="30">
        <v>168524</v>
      </c>
      <c r="G395" s="30">
        <v>155926.72874610149</v>
      </c>
      <c r="H395" s="28">
        <v>185191.20879120877</v>
      </c>
      <c r="I395" s="7">
        <v>91</v>
      </c>
      <c r="J395" s="7" t="s">
        <v>73</v>
      </c>
      <c r="K395" s="7">
        <v>841</v>
      </c>
      <c r="L395" s="7">
        <v>13</v>
      </c>
      <c r="M395" s="7" t="s">
        <v>59</v>
      </c>
      <c r="N395" s="10">
        <v>5.6146746397063775E-2</v>
      </c>
      <c r="O395" s="7">
        <v>0.25</v>
      </c>
      <c r="P395" s="7">
        <v>0.24</v>
      </c>
    </row>
    <row r="396" spans="1:16" x14ac:dyDescent="0.15">
      <c r="A396" s="7">
        <v>1392</v>
      </c>
      <c r="B396" s="19">
        <v>45407</v>
      </c>
      <c r="C396" s="7">
        <v>360</v>
      </c>
      <c r="D396" s="19">
        <v>45747</v>
      </c>
      <c r="E396" s="7">
        <v>11</v>
      </c>
      <c r="F396" s="30">
        <v>256966</v>
      </c>
      <c r="G396" s="30">
        <v>240132.08562330945</v>
      </c>
      <c r="H396" s="28">
        <v>309597.59036144579</v>
      </c>
      <c r="I396" s="7">
        <v>83</v>
      </c>
      <c r="J396" s="7" t="s">
        <v>60</v>
      </c>
      <c r="K396" s="7">
        <v>804</v>
      </c>
      <c r="L396" s="7">
        <v>30</v>
      </c>
      <c r="M396" s="7" t="s">
        <v>59</v>
      </c>
      <c r="N396" s="10">
        <v>5.9376527533719435E-2</v>
      </c>
      <c r="O396" s="7">
        <v>0.12</v>
      </c>
      <c r="P396" s="7">
        <v>0.43</v>
      </c>
    </row>
    <row r="397" spans="1:16" x14ac:dyDescent="0.15">
      <c r="A397" s="7">
        <v>1393</v>
      </c>
      <c r="B397" s="19">
        <v>45473</v>
      </c>
      <c r="C397" s="7">
        <v>360</v>
      </c>
      <c r="D397" s="19">
        <v>45747</v>
      </c>
      <c r="E397" s="7">
        <v>9</v>
      </c>
      <c r="F397" s="30">
        <v>290830</v>
      </c>
      <c r="G397" s="30">
        <v>273172.71914844814</v>
      </c>
      <c r="H397" s="28">
        <v>306136.84210526315</v>
      </c>
      <c r="I397" s="7">
        <v>95</v>
      </c>
      <c r="J397" s="7" t="s">
        <v>71</v>
      </c>
      <c r="K397" s="7">
        <v>661</v>
      </c>
      <c r="L397" s="7">
        <v>50</v>
      </c>
      <c r="M397" s="7" t="s">
        <v>59</v>
      </c>
      <c r="N397" s="10">
        <v>7.1379591479482057E-2</v>
      </c>
      <c r="O397" s="7">
        <v>0.3</v>
      </c>
      <c r="P397" s="7">
        <v>0.27</v>
      </c>
    </row>
    <row r="398" spans="1:16" x14ac:dyDescent="0.15">
      <c r="A398" s="7">
        <v>1394</v>
      </c>
      <c r="B398" s="19">
        <v>45401</v>
      </c>
      <c r="C398" s="7">
        <v>360</v>
      </c>
      <c r="D398" s="19">
        <v>45747</v>
      </c>
      <c r="E398" s="7">
        <v>11</v>
      </c>
      <c r="F398" s="30">
        <v>188860</v>
      </c>
      <c r="G398" s="30">
        <v>175945.82970488456</v>
      </c>
      <c r="H398" s="28">
        <v>233160.49382716048</v>
      </c>
      <c r="I398" s="7">
        <v>81</v>
      </c>
      <c r="J398" s="7" t="s">
        <v>74</v>
      </c>
      <c r="K398" s="7">
        <v>678</v>
      </c>
      <c r="L398" s="7">
        <v>17</v>
      </c>
      <c r="M398" s="7" t="s">
        <v>59</v>
      </c>
      <c r="N398" s="10">
        <v>6.3407678487334279E-2</v>
      </c>
      <c r="O398" s="7">
        <v>0.12</v>
      </c>
      <c r="P398" s="7">
        <v>0.21</v>
      </c>
    </row>
    <row r="399" spans="1:16" x14ac:dyDescent="0.15">
      <c r="A399" s="7">
        <v>1395</v>
      </c>
      <c r="B399" s="19">
        <v>45326</v>
      </c>
      <c r="C399" s="7">
        <v>360</v>
      </c>
      <c r="D399" s="19">
        <v>45747</v>
      </c>
      <c r="E399" s="7">
        <v>13</v>
      </c>
      <c r="F399" s="30">
        <v>452794</v>
      </c>
      <c r="G399" s="30">
        <v>409886.96953289158</v>
      </c>
      <c r="H399" s="28">
        <v>471660.41666666669</v>
      </c>
      <c r="I399" s="7">
        <v>96</v>
      </c>
      <c r="J399" s="7" t="s">
        <v>62</v>
      </c>
      <c r="K399" s="7">
        <v>613</v>
      </c>
      <c r="L399" s="7">
        <v>18</v>
      </c>
      <c r="M399" s="7" t="s">
        <v>59</v>
      </c>
      <c r="N399" s="10">
        <v>7.930532883569244E-2</v>
      </c>
      <c r="O399" s="7">
        <v>0.3</v>
      </c>
      <c r="P399" s="7">
        <v>0.32</v>
      </c>
    </row>
    <row r="400" spans="1:16" x14ac:dyDescent="0.15">
      <c r="A400" s="7">
        <v>1396</v>
      </c>
      <c r="B400" s="19">
        <v>45404</v>
      </c>
      <c r="C400" s="7">
        <v>360</v>
      </c>
      <c r="D400" s="19">
        <v>45747</v>
      </c>
      <c r="E400" s="7">
        <v>11</v>
      </c>
      <c r="F400" s="30">
        <v>770044</v>
      </c>
      <c r="G400" s="30">
        <v>723580.86464937846</v>
      </c>
      <c r="H400" s="28">
        <v>875050</v>
      </c>
      <c r="I400" s="7">
        <v>88</v>
      </c>
      <c r="J400" s="7" t="s">
        <v>64</v>
      </c>
      <c r="K400" s="7">
        <v>665</v>
      </c>
      <c r="L400" s="7">
        <v>8</v>
      </c>
      <c r="M400" s="7" t="s">
        <v>59</v>
      </c>
      <c r="N400" s="10">
        <v>5.1905924564067014E-2</v>
      </c>
      <c r="O400" s="7">
        <v>0.12</v>
      </c>
      <c r="P400" s="7">
        <v>0.23</v>
      </c>
    </row>
    <row r="401" spans="1:16" x14ac:dyDescent="0.15">
      <c r="A401" s="7">
        <v>1397</v>
      </c>
      <c r="B401" s="19">
        <v>45303</v>
      </c>
      <c r="C401" s="7">
        <v>360</v>
      </c>
      <c r="D401" s="19">
        <v>45747</v>
      </c>
      <c r="E401" s="7">
        <v>14</v>
      </c>
      <c r="F401" s="30">
        <v>255832</v>
      </c>
      <c r="G401" s="30">
        <v>233006.06946825687</v>
      </c>
      <c r="H401" s="28">
        <v>278078.26086956519</v>
      </c>
      <c r="I401" s="7">
        <v>92</v>
      </c>
      <c r="J401" s="7" t="s">
        <v>66</v>
      </c>
      <c r="K401" s="7">
        <v>652</v>
      </c>
      <c r="L401" s="7">
        <v>19</v>
      </c>
      <c r="M401" s="7" t="s">
        <v>59</v>
      </c>
      <c r="N401" s="10">
        <v>6.5794555819012987E-2</v>
      </c>
      <c r="O401" s="7">
        <v>0.25</v>
      </c>
      <c r="P401" s="7">
        <v>0.34</v>
      </c>
    </row>
    <row r="402" spans="1:16" x14ac:dyDescent="0.15">
      <c r="A402" s="7">
        <v>1398</v>
      </c>
      <c r="B402" s="19">
        <v>45350</v>
      </c>
      <c r="C402" s="7">
        <v>360</v>
      </c>
      <c r="D402" s="19">
        <v>45747</v>
      </c>
      <c r="E402" s="7">
        <v>13</v>
      </c>
      <c r="F402" s="30">
        <v>513591</v>
      </c>
      <c r="G402" s="30">
        <v>475472.58467870118</v>
      </c>
      <c r="H402" s="28">
        <v>641988.75</v>
      </c>
      <c r="I402" s="7">
        <v>80</v>
      </c>
      <c r="J402" s="7" t="s">
        <v>62</v>
      </c>
      <c r="K402" s="7">
        <v>814</v>
      </c>
      <c r="L402" s="7">
        <v>40</v>
      </c>
      <c r="M402" s="7" t="s">
        <v>59</v>
      </c>
      <c r="N402" s="10">
        <v>5.5498158141827736E-2</v>
      </c>
      <c r="O402" s="7">
        <v>0.12</v>
      </c>
      <c r="P402" s="7">
        <v>0.31</v>
      </c>
    </row>
    <row r="403" spans="1:16" x14ac:dyDescent="0.15">
      <c r="A403" s="7">
        <v>1399</v>
      </c>
      <c r="B403" s="19">
        <v>45435</v>
      </c>
      <c r="C403" s="7">
        <v>360</v>
      </c>
      <c r="D403" s="19">
        <v>45747</v>
      </c>
      <c r="E403" s="7">
        <v>10</v>
      </c>
      <c r="F403" s="30">
        <v>736447</v>
      </c>
      <c r="G403" s="30">
        <v>696169.2735933935</v>
      </c>
      <c r="H403" s="28">
        <v>783454.255319149</v>
      </c>
      <c r="I403" s="7">
        <v>94</v>
      </c>
      <c r="J403" s="7" t="s">
        <v>64</v>
      </c>
      <c r="K403" s="7">
        <v>617</v>
      </c>
      <c r="L403" s="7">
        <v>14</v>
      </c>
      <c r="M403" s="7" t="s">
        <v>59</v>
      </c>
      <c r="N403" s="10">
        <v>5.1644938379618317E-2</v>
      </c>
      <c r="O403" s="7">
        <v>0.25</v>
      </c>
      <c r="P403" s="7">
        <v>0.42</v>
      </c>
    </row>
    <row r="404" spans="1:16" x14ac:dyDescent="0.15">
      <c r="A404" s="7">
        <v>1400</v>
      </c>
      <c r="B404" s="19">
        <v>45357</v>
      </c>
      <c r="C404" s="7">
        <v>360</v>
      </c>
      <c r="D404" s="19">
        <v>45747</v>
      </c>
      <c r="E404" s="7">
        <v>12</v>
      </c>
      <c r="F404" s="30">
        <v>497036</v>
      </c>
      <c r="G404" s="30">
        <v>459336.1220777522</v>
      </c>
      <c r="H404" s="28">
        <v>564813.63636363635</v>
      </c>
      <c r="I404" s="7">
        <v>88</v>
      </c>
      <c r="J404" s="7" t="s">
        <v>73</v>
      </c>
      <c r="K404" s="7">
        <v>659</v>
      </c>
      <c r="L404" s="7">
        <v>1</v>
      </c>
      <c r="M404" s="7" t="s">
        <v>59</v>
      </c>
      <c r="N404" s="10">
        <v>6.5001556311557726E-2</v>
      </c>
      <c r="O404" s="7">
        <v>0.12</v>
      </c>
      <c r="P404" s="7">
        <v>0.26</v>
      </c>
    </row>
    <row r="405" spans="1:16" x14ac:dyDescent="0.15">
      <c r="A405" s="7">
        <v>1401</v>
      </c>
      <c r="B405" s="19">
        <v>45448</v>
      </c>
      <c r="C405" s="7">
        <v>360</v>
      </c>
      <c r="D405" s="19">
        <v>45747</v>
      </c>
      <c r="E405" s="7">
        <v>9</v>
      </c>
      <c r="F405" s="30">
        <v>207423</v>
      </c>
      <c r="G405" s="30">
        <v>194384.28831919382</v>
      </c>
      <c r="H405" s="28">
        <v>259278.75</v>
      </c>
      <c r="I405" s="7">
        <v>80</v>
      </c>
      <c r="J405" s="7" t="s">
        <v>72</v>
      </c>
      <c r="K405" s="7">
        <v>618</v>
      </c>
      <c r="L405" s="7">
        <v>25</v>
      </c>
      <c r="M405" s="7" t="s">
        <v>59</v>
      </c>
      <c r="N405" s="10">
        <v>7.4888315097219188E-2</v>
      </c>
      <c r="O405" s="7">
        <v>0.12</v>
      </c>
      <c r="P405" s="7">
        <v>0.32</v>
      </c>
    </row>
    <row r="406" spans="1:16" x14ac:dyDescent="0.15">
      <c r="A406" s="7">
        <v>1402</v>
      </c>
      <c r="B406" s="19">
        <v>45385</v>
      </c>
      <c r="C406" s="7">
        <v>360</v>
      </c>
      <c r="D406" s="19">
        <v>45747</v>
      </c>
      <c r="E406" s="7">
        <v>11</v>
      </c>
      <c r="F406" s="30">
        <v>278194</v>
      </c>
      <c r="G406" s="30">
        <v>259117.64927702709</v>
      </c>
      <c r="H406" s="28">
        <v>302384.78260869562</v>
      </c>
      <c r="I406" s="7">
        <v>92</v>
      </c>
      <c r="J406" s="7" t="s">
        <v>71</v>
      </c>
      <c r="K406" s="7">
        <v>673</v>
      </c>
      <c r="L406" s="7">
        <v>41</v>
      </c>
      <c r="M406" s="7" t="s">
        <v>59</v>
      </c>
      <c r="N406" s="10">
        <v>6.367552094742511E-2</v>
      </c>
      <c r="O406" s="7">
        <v>0.25</v>
      </c>
      <c r="P406" s="7">
        <v>0.35</v>
      </c>
    </row>
    <row r="407" spans="1:16" x14ac:dyDescent="0.15">
      <c r="A407" s="7">
        <v>1403</v>
      </c>
      <c r="B407" s="19">
        <v>45333</v>
      </c>
      <c r="C407" s="7">
        <v>360</v>
      </c>
      <c r="D407" s="19">
        <v>45747</v>
      </c>
      <c r="E407" s="7">
        <v>13</v>
      </c>
      <c r="F407" s="30">
        <v>342502</v>
      </c>
      <c r="G407" s="30">
        <v>316292.22876389761</v>
      </c>
      <c r="H407" s="28">
        <v>360528.42105263157</v>
      </c>
      <c r="I407" s="7">
        <v>95</v>
      </c>
      <c r="J407" s="7" t="s">
        <v>65</v>
      </c>
      <c r="K407" s="7">
        <v>718</v>
      </c>
      <c r="L407" s="7">
        <v>6</v>
      </c>
      <c r="M407" s="7" t="s">
        <v>59</v>
      </c>
      <c r="N407" s="10">
        <v>5.8297589821129377E-2</v>
      </c>
      <c r="O407" s="7">
        <v>0.3</v>
      </c>
      <c r="P407" s="7">
        <v>0.33</v>
      </c>
    </row>
    <row r="408" spans="1:16" x14ac:dyDescent="0.15">
      <c r="A408" s="7">
        <v>1404</v>
      </c>
      <c r="B408" s="19">
        <v>45403</v>
      </c>
      <c r="C408" s="7">
        <v>360</v>
      </c>
      <c r="D408" s="19">
        <v>45747</v>
      </c>
      <c r="E408" s="7">
        <v>11</v>
      </c>
      <c r="F408" s="30">
        <v>252033</v>
      </c>
      <c r="G408" s="30">
        <v>233923.21052814572</v>
      </c>
      <c r="H408" s="28">
        <v>273948.91304347827</v>
      </c>
      <c r="I408" s="7">
        <v>92</v>
      </c>
      <c r="J408" s="7" t="s">
        <v>62</v>
      </c>
      <c r="K408" s="7">
        <v>782</v>
      </c>
      <c r="L408" s="7">
        <v>3</v>
      </c>
      <c r="M408" s="7" t="s">
        <v>59</v>
      </c>
      <c r="N408" s="10">
        <v>6.8195169747498882E-2</v>
      </c>
      <c r="O408" s="7">
        <v>0.25</v>
      </c>
      <c r="P408" s="7">
        <v>0.21</v>
      </c>
    </row>
    <row r="409" spans="1:16" x14ac:dyDescent="0.15">
      <c r="A409" s="7">
        <v>1405</v>
      </c>
      <c r="B409" s="19">
        <v>45395</v>
      </c>
      <c r="C409" s="7">
        <v>360</v>
      </c>
      <c r="D409" s="19">
        <v>45747</v>
      </c>
      <c r="E409" s="7">
        <v>11</v>
      </c>
      <c r="F409" s="30">
        <v>497439</v>
      </c>
      <c r="G409" s="30">
        <v>467599.16805020766</v>
      </c>
      <c r="H409" s="28">
        <v>552710</v>
      </c>
      <c r="I409" s="7">
        <v>90</v>
      </c>
      <c r="J409" s="7" t="s">
        <v>71</v>
      </c>
      <c r="K409" s="7">
        <v>849</v>
      </c>
      <c r="L409" s="7">
        <v>49</v>
      </c>
      <c r="M409" s="7" t="s">
        <v>59</v>
      </c>
      <c r="N409" s="10">
        <v>5.1387873618194656E-2</v>
      </c>
      <c r="O409" s="7">
        <v>0.25</v>
      </c>
      <c r="P409" s="7">
        <v>0.2</v>
      </c>
    </row>
    <row r="410" spans="1:16" x14ac:dyDescent="0.15">
      <c r="A410" s="7">
        <v>1406</v>
      </c>
      <c r="B410" s="19">
        <v>45421</v>
      </c>
      <c r="C410" s="7">
        <v>360</v>
      </c>
      <c r="D410" s="19">
        <v>45747</v>
      </c>
      <c r="E410" s="7">
        <v>10</v>
      </c>
      <c r="F410" s="30">
        <v>545898</v>
      </c>
      <c r="G410" s="30">
        <v>512391.72578642599</v>
      </c>
      <c r="H410" s="28">
        <v>562781.44329896907</v>
      </c>
      <c r="I410" s="7">
        <v>97</v>
      </c>
      <c r="J410" s="7" t="s">
        <v>62</v>
      </c>
      <c r="K410" s="7">
        <v>830</v>
      </c>
      <c r="L410" s="7">
        <v>13</v>
      </c>
      <c r="M410" s="7" t="s">
        <v>59</v>
      </c>
      <c r="N410" s="10">
        <v>6.2202356947017937E-2</v>
      </c>
      <c r="O410" s="7">
        <v>0.35</v>
      </c>
      <c r="P410" s="7">
        <v>0.44</v>
      </c>
    </row>
    <row r="411" spans="1:16" x14ac:dyDescent="0.15">
      <c r="A411" s="7">
        <v>1407</v>
      </c>
      <c r="B411" s="19">
        <v>45344</v>
      </c>
      <c r="C411" s="7">
        <v>360</v>
      </c>
      <c r="D411" s="19">
        <v>45747</v>
      </c>
      <c r="E411" s="7">
        <v>13</v>
      </c>
      <c r="F411" s="30">
        <v>565513</v>
      </c>
      <c r="G411" s="30">
        <v>513979.5655351826</v>
      </c>
      <c r="H411" s="28">
        <v>589076.04166666674</v>
      </c>
      <c r="I411" s="7">
        <v>96</v>
      </c>
      <c r="J411" s="7" t="s">
        <v>63</v>
      </c>
      <c r="K411" s="7">
        <v>775</v>
      </c>
      <c r="L411" s="7">
        <v>28</v>
      </c>
      <c r="M411" s="7" t="s">
        <v>59</v>
      </c>
      <c r="N411" s="10">
        <v>7.5257120401069383E-2</v>
      </c>
      <c r="O411" s="7">
        <v>0.3</v>
      </c>
      <c r="P411" s="7">
        <v>0.39</v>
      </c>
    </row>
    <row r="412" spans="1:16" x14ac:dyDescent="0.15">
      <c r="A412" s="7">
        <v>1408</v>
      </c>
      <c r="B412" s="19">
        <v>45392</v>
      </c>
      <c r="C412" s="7">
        <v>360</v>
      </c>
      <c r="D412" s="19">
        <v>45747</v>
      </c>
      <c r="E412" s="7">
        <v>11</v>
      </c>
      <c r="F412" s="30">
        <v>356174</v>
      </c>
      <c r="G412" s="30">
        <v>327826.18256704236</v>
      </c>
      <c r="H412" s="28">
        <v>391400</v>
      </c>
      <c r="I412" s="7">
        <v>91</v>
      </c>
      <c r="J412" s="7" t="s">
        <v>72</v>
      </c>
      <c r="K412" s="7">
        <v>832</v>
      </c>
      <c r="L412" s="7">
        <v>31</v>
      </c>
      <c r="M412" s="7" t="s">
        <v>59</v>
      </c>
      <c r="N412" s="10">
        <v>7.8530097696269174E-2</v>
      </c>
      <c r="O412" s="7">
        <v>0.25</v>
      </c>
      <c r="P412" s="7">
        <v>0.41</v>
      </c>
    </row>
    <row r="413" spans="1:16" x14ac:dyDescent="0.15">
      <c r="A413" s="7">
        <v>1409</v>
      </c>
      <c r="B413" s="19">
        <v>45329</v>
      </c>
      <c r="C413" s="7">
        <v>360</v>
      </c>
      <c r="D413" s="19">
        <v>45747</v>
      </c>
      <c r="E413" s="7">
        <v>13</v>
      </c>
      <c r="F413" s="30">
        <v>536965</v>
      </c>
      <c r="G413" s="30">
        <v>497936.74172610469</v>
      </c>
      <c r="H413" s="28">
        <v>631723.5294117647</v>
      </c>
      <c r="I413" s="7">
        <v>85</v>
      </c>
      <c r="J413" s="7" t="s">
        <v>64</v>
      </c>
      <c r="K413" s="7">
        <v>680</v>
      </c>
      <c r="L413" s="7">
        <v>9</v>
      </c>
      <c r="M413" s="7" t="s">
        <v>59</v>
      </c>
      <c r="N413" s="10">
        <v>5.3610269737181929E-2</v>
      </c>
      <c r="O413" s="7">
        <v>0.12</v>
      </c>
      <c r="P413" s="7">
        <v>0.39</v>
      </c>
    </row>
    <row r="414" spans="1:16" x14ac:dyDescent="0.15">
      <c r="A414" s="7">
        <v>1410</v>
      </c>
      <c r="B414" s="19">
        <v>45439</v>
      </c>
      <c r="C414" s="7">
        <v>360</v>
      </c>
      <c r="D414" s="19">
        <v>45747</v>
      </c>
      <c r="E414" s="7">
        <v>10</v>
      </c>
      <c r="F414" s="30">
        <v>471067</v>
      </c>
      <c r="G414" s="30">
        <v>445758.17184845748</v>
      </c>
      <c r="H414" s="28">
        <v>567550.60240963858</v>
      </c>
      <c r="I414" s="7">
        <v>83</v>
      </c>
      <c r="J414" s="7" t="s">
        <v>61</v>
      </c>
      <c r="K414" s="7">
        <v>712</v>
      </c>
      <c r="L414" s="7">
        <v>7</v>
      </c>
      <c r="M414" s="7" t="s">
        <v>59</v>
      </c>
      <c r="N414" s="10">
        <v>5.0072695893588891E-2</v>
      </c>
      <c r="O414" s="7">
        <v>0.12</v>
      </c>
      <c r="P414" s="7">
        <v>0.41</v>
      </c>
    </row>
    <row r="415" spans="1:16" x14ac:dyDescent="0.15">
      <c r="A415" s="7">
        <v>1411</v>
      </c>
      <c r="B415" s="19">
        <v>45356</v>
      </c>
      <c r="C415" s="7">
        <v>360</v>
      </c>
      <c r="D415" s="19">
        <v>45747</v>
      </c>
      <c r="E415" s="7">
        <v>12</v>
      </c>
      <c r="F415" s="30">
        <v>793018</v>
      </c>
      <c r="G415" s="30">
        <v>739664.88546270714</v>
      </c>
      <c r="H415" s="28">
        <v>911514.94252873561</v>
      </c>
      <c r="I415" s="7">
        <v>87</v>
      </c>
      <c r="J415" s="7" t="s">
        <v>62</v>
      </c>
      <c r="K415" s="7">
        <v>807</v>
      </c>
      <c r="L415" s="7">
        <v>48</v>
      </c>
      <c r="M415" s="7" t="s">
        <v>59</v>
      </c>
      <c r="N415" s="10">
        <v>5.3859603858534937E-2</v>
      </c>
      <c r="O415" s="7">
        <v>0.12</v>
      </c>
      <c r="P415" s="7">
        <v>0.43</v>
      </c>
    </row>
    <row r="416" spans="1:16" x14ac:dyDescent="0.15">
      <c r="A416" s="7">
        <v>1412</v>
      </c>
      <c r="B416" s="19">
        <v>45454</v>
      </c>
      <c r="C416" s="7">
        <v>360</v>
      </c>
      <c r="D416" s="19">
        <v>45747</v>
      </c>
      <c r="E416" s="7">
        <v>9</v>
      </c>
      <c r="F416" s="30">
        <v>337215</v>
      </c>
      <c r="G416" s="30">
        <v>316064.72523059911</v>
      </c>
      <c r="H416" s="28">
        <v>401446.42857142858</v>
      </c>
      <c r="I416" s="7">
        <v>84</v>
      </c>
      <c r="J416" s="7" t="s">
        <v>66</v>
      </c>
      <c r="K416" s="7">
        <v>778</v>
      </c>
      <c r="L416" s="7">
        <v>3</v>
      </c>
      <c r="M416" s="7" t="s">
        <v>59</v>
      </c>
      <c r="N416" s="10">
        <v>7.4660877626523972E-2</v>
      </c>
      <c r="O416" s="7">
        <v>0.12</v>
      </c>
      <c r="P416" s="7">
        <v>0.26</v>
      </c>
    </row>
    <row r="417" spans="1:16" x14ac:dyDescent="0.15">
      <c r="A417" s="7">
        <v>1413</v>
      </c>
      <c r="B417" s="19">
        <v>45406</v>
      </c>
      <c r="C417" s="7">
        <v>360</v>
      </c>
      <c r="D417" s="19">
        <v>45747</v>
      </c>
      <c r="E417" s="7">
        <v>11</v>
      </c>
      <c r="F417" s="30">
        <v>338369</v>
      </c>
      <c r="G417" s="30">
        <v>313310.309487394</v>
      </c>
      <c r="H417" s="28">
        <v>388929.88505747129</v>
      </c>
      <c r="I417" s="7">
        <v>87</v>
      </c>
      <c r="J417" s="7" t="s">
        <v>69</v>
      </c>
      <c r="K417" s="7">
        <v>719</v>
      </c>
      <c r="L417" s="7">
        <v>42</v>
      </c>
      <c r="M417" s="7" t="s">
        <v>59</v>
      </c>
      <c r="N417" s="10">
        <v>7.1180289950856471E-2</v>
      </c>
      <c r="O417" s="7">
        <v>0.12</v>
      </c>
      <c r="P417" s="7">
        <v>0.23</v>
      </c>
    </row>
    <row r="418" spans="1:16" x14ac:dyDescent="0.15">
      <c r="A418" s="7">
        <v>1414</v>
      </c>
      <c r="B418" s="19">
        <v>45391</v>
      </c>
      <c r="C418" s="7">
        <v>360</v>
      </c>
      <c r="D418" s="19">
        <v>45747</v>
      </c>
      <c r="E418" s="7">
        <v>11</v>
      </c>
      <c r="F418" s="30">
        <v>714072</v>
      </c>
      <c r="G418" s="30">
        <v>671171.0967862797</v>
      </c>
      <c r="H418" s="28">
        <v>870819.51219512196</v>
      </c>
      <c r="I418" s="7">
        <v>82</v>
      </c>
      <c r="J418" s="7" t="s">
        <v>72</v>
      </c>
      <c r="K418" s="7">
        <v>838</v>
      </c>
      <c r="L418" s="7">
        <v>34</v>
      </c>
      <c r="M418" s="7" t="s">
        <v>59</v>
      </c>
      <c r="N418" s="10">
        <v>5.1524131264096586E-2</v>
      </c>
      <c r="O418" s="7">
        <v>0.12</v>
      </c>
      <c r="P418" s="7">
        <v>0.39</v>
      </c>
    </row>
    <row r="419" spans="1:16" x14ac:dyDescent="0.15">
      <c r="A419" s="7">
        <v>1415</v>
      </c>
      <c r="B419" s="19">
        <v>45367</v>
      </c>
      <c r="C419" s="7">
        <v>360</v>
      </c>
      <c r="D419" s="19">
        <v>45747</v>
      </c>
      <c r="E419" s="7">
        <v>12</v>
      </c>
      <c r="F419" s="30">
        <v>362538</v>
      </c>
      <c r="G419" s="30">
        <v>337219.12478331063</v>
      </c>
      <c r="H419" s="28">
        <v>381618.94736842107</v>
      </c>
      <c r="I419" s="7">
        <v>95</v>
      </c>
      <c r="J419" s="7" t="s">
        <v>65</v>
      </c>
      <c r="K419" s="7">
        <v>684</v>
      </c>
      <c r="L419" s="7">
        <v>24</v>
      </c>
      <c r="M419" s="7" t="s">
        <v>59</v>
      </c>
      <c r="N419" s="10">
        <v>5.7249437359340086E-2</v>
      </c>
      <c r="O419" s="7">
        <v>0.3</v>
      </c>
      <c r="P419" s="7">
        <v>0.25</v>
      </c>
    </row>
    <row r="420" spans="1:16" x14ac:dyDescent="0.15">
      <c r="A420" s="7">
        <v>1416</v>
      </c>
      <c r="B420" s="19">
        <v>45460</v>
      </c>
      <c r="C420" s="7">
        <v>360</v>
      </c>
      <c r="D420" s="19">
        <v>45747</v>
      </c>
      <c r="E420" s="7">
        <v>9</v>
      </c>
      <c r="F420" s="30">
        <v>431026</v>
      </c>
      <c r="G420" s="30">
        <v>408483.80097386468</v>
      </c>
      <c r="H420" s="28">
        <v>448985.41666666669</v>
      </c>
      <c r="I420" s="7">
        <v>96</v>
      </c>
      <c r="J420" s="7" t="s">
        <v>72</v>
      </c>
      <c r="K420" s="7">
        <v>828</v>
      </c>
      <c r="L420" s="7">
        <v>15</v>
      </c>
      <c r="M420" s="7" t="s">
        <v>59</v>
      </c>
      <c r="N420" s="10">
        <v>5.7110242624506327E-2</v>
      </c>
      <c r="O420" s="7">
        <v>0.3</v>
      </c>
      <c r="P420" s="7">
        <v>0.2</v>
      </c>
    </row>
    <row r="421" spans="1:16" x14ac:dyDescent="0.15">
      <c r="A421" s="7">
        <v>1417</v>
      </c>
      <c r="B421" s="19">
        <v>45366</v>
      </c>
      <c r="C421" s="7">
        <v>360</v>
      </c>
      <c r="D421" s="19">
        <v>45747</v>
      </c>
      <c r="E421" s="7">
        <v>12</v>
      </c>
      <c r="F421" s="30">
        <v>623667</v>
      </c>
      <c r="G421" s="30">
        <v>573375.52963444497</v>
      </c>
      <c r="H421" s="28">
        <v>769959.25925925921</v>
      </c>
      <c r="I421" s="7">
        <v>81</v>
      </c>
      <c r="J421" s="7" t="s">
        <v>67</v>
      </c>
      <c r="K421" s="7">
        <v>637</v>
      </c>
      <c r="L421" s="7">
        <v>10</v>
      </c>
      <c r="M421" s="7" t="s">
        <v>59</v>
      </c>
      <c r="N421" s="10">
        <v>7.0993206203156176E-2</v>
      </c>
      <c r="O421" s="7">
        <v>0.12</v>
      </c>
      <c r="P421" s="7">
        <v>0.45</v>
      </c>
    </row>
    <row r="422" spans="1:16" x14ac:dyDescent="0.15">
      <c r="A422" s="7">
        <v>1418</v>
      </c>
      <c r="B422" s="19">
        <v>45462</v>
      </c>
      <c r="C422" s="7">
        <v>360</v>
      </c>
      <c r="D422" s="19">
        <v>45747</v>
      </c>
      <c r="E422" s="7">
        <v>9</v>
      </c>
      <c r="F422" s="30">
        <v>255497</v>
      </c>
      <c r="G422" s="30">
        <v>242747.0956351627</v>
      </c>
      <c r="H422" s="28">
        <v>311581.70731707319</v>
      </c>
      <c r="I422" s="7">
        <v>82</v>
      </c>
      <c r="J422" s="7" t="s">
        <v>66</v>
      </c>
      <c r="K422" s="7">
        <v>805</v>
      </c>
      <c r="L422" s="7">
        <v>27</v>
      </c>
      <c r="M422" s="7" t="s">
        <v>59</v>
      </c>
      <c r="N422" s="10">
        <v>5.2865663483733824E-2</v>
      </c>
      <c r="O422" s="7">
        <v>0.12</v>
      </c>
      <c r="P422" s="7">
        <v>0.41</v>
      </c>
    </row>
    <row r="423" spans="1:16" x14ac:dyDescent="0.15">
      <c r="A423" s="7">
        <v>1419</v>
      </c>
      <c r="B423" s="19">
        <v>45349</v>
      </c>
      <c r="C423" s="7">
        <v>360</v>
      </c>
      <c r="D423" s="19">
        <v>45747</v>
      </c>
      <c r="E423" s="7">
        <v>13</v>
      </c>
      <c r="F423" s="30">
        <v>459147</v>
      </c>
      <c r="G423" s="30">
        <v>425269.10361714615</v>
      </c>
      <c r="H423" s="28">
        <v>488454.25531914894</v>
      </c>
      <c r="I423" s="7">
        <v>94</v>
      </c>
      <c r="J423" s="7" t="s">
        <v>73</v>
      </c>
      <c r="K423" s="7">
        <v>715</v>
      </c>
      <c r="L423" s="7">
        <v>1</v>
      </c>
      <c r="M423" s="7" t="s">
        <v>59</v>
      </c>
      <c r="N423" s="10">
        <v>5.4965487396037342E-2</v>
      </c>
      <c r="O423" s="7">
        <v>0.25</v>
      </c>
      <c r="P423" s="7">
        <v>0.34</v>
      </c>
    </row>
    <row r="424" spans="1:16" x14ac:dyDescent="0.15">
      <c r="A424" s="7">
        <v>1420</v>
      </c>
      <c r="B424" s="19">
        <v>45413</v>
      </c>
      <c r="C424" s="7">
        <v>360</v>
      </c>
      <c r="D424" s="19">
        <v>45747</v>
      </c>
      <c r="E424" s="7">
        <v>10</v>
      </c>
      <c r="F424" s="30">
        <v>556312</v>
      </c>
      <c r="G424" s="30">
        <v>522571.34761880047</v>
      </c>
      <c r="H424" s="28">
        <v>591821.27659574477</v>
      </c>
      <c r="I424" s="7">
        <v>94</v>
      </c>
      <c r="J424" s="7" t="s">
        <v>72</v>
      </c>
      <c r="K424" s="7">
        <v>660</v>
      </c>
      <c r="L424" s="7">
        <v>22</v>
      </c>
      <c r="M424" s="7" t="s">
        <v>59</v>
      </c>
      <c r="N424" s="10">
        <v>6.1079118006670444E-2</v>
      </c>
      <c r="O424" s="7">
        <v>0.25</v>
      </c>
      <c r="P424" s="7">
        <v>0.39</v>
      </c>
    </row>
    <row r="425" spans="1:16" x14ac:dyDescent="0.15">
      <c r="A425" s="7">
        <v>1421</v>
      </c>
      <c r="B425" s="19">
        <v>45359</v>
      </c>
      <c r="C425" s="7">
        <v>360</v>
      </c>
      <c r="D425" s="19">
        <v>45747</v>
      </c>
      <c r="E425" s="7">
        <v>12</v>
      </c>
      <c r="F425" s="30">
        <v>257522</v>
      </c>
      <c r="G425" s="30">
        <v>236347.27179572763</v>
      </c>
      <c r="H425" s="28">
        <v>296002.29885057471</v>
      </c>
      <c r="I425" s="7">
        <v>87</v>
      </c>
      <c r="J425" s="7" t="s">
        <v>62</v>
      </c>
      <c r="K425" s="7">
        <v>768</v>
      </c>
      <c r="L425" s="7">
        <v>22</v>
      </c>
      <c r="M425" s="7" t="s">
        <v>59</v>
      </c>
      <c r="N425" s="10">
        <v>7.2946552244574081E-2</v>
      </c>
      <c r="O425" s="7">
        <v>0.12</v>
      </c>
      <c r="P425" s="7">
        <v>0.2</v>
      </c>
    </row>
    <row r="426" spans="1:16" x14ac:dyDescent="0.15">
      <c r="A426" s="7">
        <v>1422</v>
      </c>
      <c r="B426" s="19">
        <v>45373</v>
      </c>
      <c r="C426" s="7">
        <v>360</v>
      </c>
      <c r="D426" s="19">
        <v>45747</v>
      </c>
      <c r="E426" s="7">
        <v>12</v>
      </c>
      <c r="F426" s="30">
        <v>756128</v>
      </c>
      <c r="G426" s="30">
        <v>705552.53781363147</v>
      </c>
      <c r="H426" s="28">
        <v>945160</v>
      </c>
      <c r="I426" s="7">
        <v>80</v>
      </c>
      <c r="J426" s="7" t="s">
        <v>67</v>
      </c>
      <c r="K426" s="7">
        <v>772</v>
      </c>
      <c r="L426" s="7">
        <v>9</v>
      </c>
      <c r="M426" s="7" t="s">
        <v>59</v>
      </c>
      <c r="N426" s="10">
        <v>5.333636159624236E-2</v>
      </c>
      <c r="O426" s="7">
        <v>0.12</v>
      </c>
      <c r="P426" s="7">
        <v>0.39</v>
      </c>
    </row>
    <row r="427" spans="1:16" x14ac:dyDescent="0.15">
      <c r="A427" s="7">
        <v>1423</v>
      </c>
      <c r="B427" s="19">
        <v>45355</v>
      </c>
      <c r="C427" s="7">
        <v>360</v>
      </c>
      <c r="D427" s="19">
        <v>45747</v>
      </c>
      <c r="E427" s="7">
        <v>12</v>
      </c>
      <c r="F427" s="30">
        <v>747441</v>
      </c>
      <c r="G427" s="30">
        <v>686655.14410825679</v>
      </c>
      <c r="H427" s="28">
        <v>900531.32530120481</v>
      </c>
      <c r="I427" s="7">
        <v>83</v>
      </c>
      <c r="J427" s="7" t="s">
        <v>70</v>
      </c>
      <c r="K427" s="7">
        <v>728</v>
      </c>
      <c r="L427" s="7">
        <v>21</v>
      </c>
      <c r="M427" s="7" t="s">
        <v>59</v>
      </c>
      <c r="N427" s="10">
        <v>7.1840787150796406E-2</v>
      </c>
      <c r="O427" s="7">
        <v>0.12</v>
      </c>
      <c r="P427" s="7">
        <v>0.41</v>
      </c>
    </row>
    <row r="428" spans="1:16" x14ac:dyDescent="0.15">
      <c r="A428" s="7">
        <v>1424</v>
      </c>
      <c r="B428" s="19">
        <v>45441</v>
      </c>
      <c r="C428" s="7">
        <v>360</v>
      </c>
      <c r="D428" s="19">
        <v>45747</v>
      </c>
      <c r="E428" s="7">
        <v>10</v>
      </c>
      <c r="F428" s="30">
        <v>266226</v>
      </c>
      <c r="G428" s="30">
        <v>251569.16764243887</v>
      </c>
      <c r="H428" s="28">
        <v>316935.71428571432</v>
      </c>
      <c r="I428" s="7">
        <v>84</v>
      </c>
      <c r="J428" s="7" t="s">
        <v>63</v>
      </c>
      <c r="K428" s="7">
        <v>779</v>
      </c>
      <c r="L428" s="7">
        <v>36</v>
      </c>
      <c r="M428" s="7" t="s">
        <v>59</v>
      </c>
      <c r="N428" s="10">
        <v>5.2231360652312944E-2</v>
      </c>
      <c r="O428" s="7">
        <v>0.12</v>
      </c>
      <c r="P428" s="7">
        <v>0.3</v>
      </c>
    </row>
    <row r="429" spans="1:16" x14ac:dyDescent="0.15">
      <c r="A429" s="7">
        <v>1425</v>
      </c>
      <c r="B429" s="19">
        <v>45405</v>
      </c>
      <c r="C429" s="7">
        <v>360</v>
      </c>
      <c r="D429" s="19">
        <v>45747</v>
      </c>
      <c r="E429" s="7">
        <v>11</v>
      </c>
      <c r="F429" s="30">
        <v>224092</v>
      </c>
      <c r="G429" s="30">
        <v>206356.41619848862</v>
      </c>
      <c r="H429" s="28">
        <v>276656.7901234568</v>
      </c>
      <c r="I429" s="7">
        <v>81</v>
      </c>
      <c r="J429" s="7" t="s">
        <v>60</v>
      </c>
      <c r="K429" s="7">
        <v>755</v>
      </c>
      <c r="L429" s="7">
        <v>16</v>
      </c>
      <c r="M429" s="7" t="s">
        <v>59</v>
      </c>
      <c r="N429" s="10">
        <v>7.7945434364807123E-2</v>
      </c>
      <c r="O429" s="7">
        <v>0.12</v>
      </c>
      <c r="P429" s="7">
        <v>0.26</v>
      </c>
    </row>
    <row r="430" spans="1:16" x14ac:dyDescent="0.15">
      <c r="A430" s="7">
        <v>1426</v>
      </c>
      <c r="B430" s="19">
        <v>45298</v>
      </c>
      <c r="C430" s="7">
        <v>360</v>
      </c>
      <c r="D430" s="19">
        <v>45747</v>
      </c>
      <c r="E430" s="7">
        <v>14</v>
      </c>
      <c r="F430" s="30">
        <v>741287</v>
      </c>
      <c r="G430" s="30">
        <v>683271.52932689944</v>
      </c>
      <c r="H430" s="28">
        <v>823652.22222222225</v>
      </c>
      <c r="I430" s="7">
        <v>90</v>
      </c>
      <c r="J430" s="7" t="s">
        <v>60</v>
      </c>
      <c r="K430" s="7">
        <v>783</v>
      </c>
      <c r="L430" s="7">
        <v>16</v>
      </c>
      <c r="M430" s="7" t="s">
        <v>59</v>
      </c>
      <c r="N430" s="10">
        <v>5.359778043576565E-2</v>
      </c>
      <c r="O430" s="7">
        <v>0.25</v>
      </c>
      <c r="P430" s="7">
        <v>0.44</v>
      </c>
    </row>
    <row r="431" spans="1:16" x14ac:dyDescent="0.15">
      <c r="A431" s="7">
        <v>1427</v>
      </c>
      <c r="B431" s="19">
        <v>45414</v>
      </c>
      <c r="C431" s="7">
        <v>360</v>
      </c>
      <c r="D431" s="19">
        <v>45747</v>
      </c>
      <c r="E431" s="7">
        <v>10</v>
      </c>
      <c r="F431" s="30">
        <v>183178</v>
      </c>
      <c r="G431" s="30">
        <v>171793.6792599172</v>
      </c>
      <c r="H431" s="28">
        <v>220696.38554216869</v>
      </c>
      <c r="I431" s="7">
        <v>83</v>
      </c>
      <c r="J431" s="7" t="s">
        <v>69</v>
      </c>
      <c r="K431" s="7">
        <v>624</v>
      </c>
      <c r="L431" s="7">
        <v>13</v>
      </c>
      <c r="M431" s="7" t="s">
        <v>59</v>
      </c>
      <c r="N431" s="10">
        <v>6.3385755393698756E-2</v>
      </c>
      <c r="O431" s="7">
        <v>0.12</v>
      </c>
      <c r="P431" s="7">
        <v>0.26</v>
      </c>
    </row>
    <row r="432" spans="1:16" x14ac:dyDescent="0.15">
      <c r="A432" s="7">
        <v>1428</v>
      </c>
      <c r="B432" s="19">
        <v>45293</v>
      </c>
      <c r="C432" s="7">
        <v>360</v>
      </c>
      <c r="D432" s="19">
        <v>45747</v>
      </c>
      <c r="E432" s="7">
        <v>14</v>
      </c>
      <c r="F432" s="30">
        <v>385772</v>
      </c>
      <c r="G432" s="30">
        <v>347897.30220932327</v>
      </c>
      <c r="H432" s="28">
        <v>438377.27272727271</v>
      </c>
      <c r="I432" s="7">
        <v>88</v>
      </c>
      <c r="J432" s="7" t="s">
        <v>65</v>
      </c>
      <c r="K432" s="7">
        <v>761</v>
      </c>
      <c r="L432" s="7">
        <v>34</v>
      </c>
      <c r="M432" s="7" t="s">
        <v>59</v>
      </c>
      <c r="N432" s="10">
        <v>7.5301232399686738E-2</v>
      </c>
      <c r="O432" s="7">
        <v>0.12</v>
      </c>
      <c r="P432" s="7">
        <v>0.44</v>
      </c>
    </row>
    <row r="433" spans="1:16" x14ac:dyDescent="0.15">
      <c r="A433" s="7">
        <v>1429</v>
      </c>
      <c r="B433" s="19">
        <v>45397</v>
      </c>
      <c r="C433" s="7">
        <v>360</v>
      </c>
      <c r="D433" s="19">
        <v>45747</v>
      </c>
      <c r="E433" s="7">
        <v>11</v>
      </c>
      <c r="F433" s="30">
        <v>313163</v>
      </c>
      <c r="G433" s="30">
        <v>288336.76520077925</v>
      </c>
      <c r="H433" s="28">
        <v>355867.04545454547</v>
      </c>
      <c r="I433" s="7">
        <v>88</v>
      </c>
      <c r="J433" s="7" t="s">
        <v>73</v>
      </c>
      <c r="K433" s="7">
        <v>743</v>
      </c>
      <c r="L433" s="7">
        <v>6</v>
      </c>
      <c r="M433" s="7" t="s">
        <v>59</v>
      </c>
      <c r="N433" s="10">
        <v>7.8118170344036272E-2</v>
      </c>
      <c r="O433" s="7">
        <v>0.12</v>
      </c>
      <c r="P433" s="7">
        <v>0.43</v>
      </c>
    </row>
    <row r="434" spans="1:16" x14ac:dyDescent="0.15">
      <c r="A434" s="7">
        <v>1430</v>
      </c>
      <c r="B434" s="19">
        <v>45370</v>
      </c>
      <c r="C434" s="7">
        <v>360</v>
      </c>
      <c r="D434" s="19">
        <v>45747</v>
      </c>
      <c r="E434" s="7">
        <v>12</v>
      </c>
      <c r="F434" s="30">
        <v>411057</v>
      </c>
      <c r="G434" s="30">
        <v>376667.49778994831</v>
      </c>
      <c r="H434" s="28">
        <v>432691.57894736843</v>
      </c>
      <c r="I434" s="7">
        <v>95</v>
      </c>
      <c r="J434" s="7" t="s">
        <v>67</v>
      </c>
      <c r="K434" s="7">
        <v>841</v>
      </c>
      <c r="L434" s="7">
        <v>32</v>
      </c>
      <c r="M434" s="7" t="s">
        <v>59</v>
      </c>
      <c r="N434" s="10">
        <v>7.4702173400962094E-2</v>
      </c>
      <c r="O434" s="7">
        <v>0.3</v>
      </c>
      <c r="P434" s="7">
        <v>0.28000000000000003</v>
      </c>
    </row>
    <row r="435" spans="1:16" x14ac:dyDescent="0.15">
      <c r="A435" s="7">
        <v>1431</v>
      </c>
      <c r="B435" s="19">
        <v>45473</v>
      </c>
      <c r="C435" s="7">
        <v>360</v>
      </c>
      <c r="D435" s="19">
        <v>45747</v>
      </c>
      <c r="E435" s="7">
        <v>9</v>
      </c>
      <c r="F435" s="30">
        <v>300548</v>
      </c>
      <c r="G435" s="30">
        <v>280796.32554226398</v>
      </c>
      <c r="H435" s="28">
        <v>353585.8823529412</v>
      </c>
      <c r="I435" s="7">
        <v>85</v>
      </c>
      <c r="J435" s="7" t="s">
        <v>70</v>
      </c>
      <c r="K435" s="7">
        <v>730</v>
      </c>
      <c r="L435" s="7">
        <v>29</v>
      </c>
      <c r="M435" s="7" t="s">
        <v>59</v>
      </c>
      <c r="N435" s="10">
        <v>7.9489606741665247E-2</v>
      </c>
      <c r="O435" s="7">
        <v>0.12</v>
      </c>
      <c r="P435" s="7">
        <v>0.35</v>
      </c>
    </row>
    <row r="436" spans="1:16" x14ac:dyDescent="0.15">
      <c r="A436" s="7">
        <v>1432</v>
      </c>
      <c r="B436" s="19">
        <v>45387</v>
      </c>
      <c r="C436" s="7">
        <v>360</v>
      </c>
      <c r="D436" s="19">
        <v>45747</v>
      </c>
      <c r="E436" s="7">
        <v>11</v>
      </c>
      <c r="F436" s="30">
        <v>372647</v>
      </c>
      <c r="G436" s="30">
        <v>349070.9871665067</v>
      </c>
      <c r="H436" s="28">
        <v>384172.1649484536</v>
      </c>
      <c r="I436" s="7">
        <v>97</v>
      </c>
      <c r="J436" s="7" t="s">
        <v>68</v>
      </c>
      <c r="K436" s="7">
        <v>661</v>
      </c>
      <c r="L436" s="7">
        <v>10</v>
      </c>
      <c r="M436" s="7" t="s">
        <v>59</v>
      </c>
      <c r="N436" s="10">
        <v>5.6169549317758402E-2</v>
      </c>
      <c r="O436" s="7">
        <v>0.35</v>
      </c>
      <c r="P436" s="7">
        <v>0.25</v>
      </c>
    </row>
    <row r="437" spans="1:16" x14ac:dyDescent="0.15">
      <c r="A437" s="7">
        <v>1433</v>
      </c>
      <c r="B437" s="19">
        <v>45361</v>
      </c>
      <c r="C437" s="7">
        <v>360</v>
      </c>
      <c r="D437" s="19">
        <v>45747</v>
      </c>
      <c r="E437" s="7">
        <v>12</v>
      </c>
      <c r="F437" s="30">
        <v>796722</v>
      </c>
      <c r="G437" s="30">
        <v>732199.28873700788</v>
      </c>
      <c r="H437" s="28">
        <v>905365.90909090906</v>
      </c>
      <c r="I437" s="7">
        <v>88</v>
      </c>
      <c r="J437" s="7" t="s">
        <v>72</v>
      </c>
      <c r="K437" s="7">
        <v>814</v>
      </c>
      <c r="L437" s="7">
        <v>24</v>
      </c>
      <c r="M437" s="7" t="s">
        <v>59</v>
      </c>
      <c r="N437" s="10">
        <v>7.1421561018827989E-2</v>
      </c>
      <c r="O437" s="7">
        <v>0.12</v>
      </c>
      <c r="P437" s="7">
        <v>0.25</v>
      </c>
    </row>
    <row r="438" spans="1:16" x14ac:dyDescent="0.15">
      <c r="A438" s="7">
        <v>1434</v>
      </c>
      <c r="B438" s="19">
        <v>45307</v>
      </c>
      <c r="C438" s="7">
        <v>360</v>
      </c>
      <c r="D438" s="19">
        <v>45747</v>
      </c>
      <c r="E438" s="7">
        <v>14</v>
      </c>
      <c r="F438" s="30">
        <v>403697</v>
      </c>
      <c r="G438" s="30">
        <v>363749.18524993939</v>
      </c>
      <c r="H438" s="28">
        <v>420517.70833333337</v>
      </c>
      <c r="I438" s="7">
        <v>96</v>
      </c>
      <c r="J438" s="7" t="s">
        <v>72</v>
      </c>
      <c r="K438" s="7">
        <v>791</v>
      </c>
      <c r="L438" s="7">
        <v>39</v>
      </c>
      <c r="M438" s="7" t="s">
        <v>59</v>
      </c>
      <c r="N438" s="10">
        <v>7.6108564984166932E-2</v>
      </c>
      <c r="O438" s="7">
        <v>0.3</v>
      </c>
      <c r="P438" s="7">
        <v>0.28000000000000003</v>
      </c>
    </row>
    <row r="439" spans="1:16" x14ac:dyDescent="0.15">
      <c r="A439" s="7">
        <v>1435</v>
      </c>
      <c r="B439" s="19">
        <v>45337</v>
      </c>
      <c r="C439" s="7">
        <v>360</v>
      </c>
      <c r="D439" s="19">
        <v>45747</v>
      </c>
      <c r="E439" s="7">
        <v>13</v>
      </c>
      <c r="F439" s="30">
        <v>758726</v>
      </c>
      <c r="G439" s="30">
        <v>697169.73123415094</v>
      </c>
      <c r="H439" s="28">
        <v>807155.31914893619</v>
      </c>
      <c r="I439" s="7">
        <v>94</v>
      </c>
      <c r="J439" s="7" t="s">
        <v>62</v>
      </c>
      <c r="K439" s="7">
        <v>845</v>
      </c>
      <c r="L439" s="7">
        <v>2</v>
      </c>
      <c r="M439" s="7" t="s">
        <v>59</v>
      </c>
      <c r="N439" s="10">
        <v>6.3782934786009465E-2</v>
      </c>
      <c r="O439" s="7">
        <v>0.25</v>
      </c>
      <c r="P439" s="7">
        <v>0.31</v>
      </c>
    </row>
    <row r="440" spans="1:16" x14ac:dyDescent="0.15">
      <c r="A440" s="7">
        <v>1436</v>
      </c>
      <c r="B440" s="19">
        <v>45380</v>
      </c>
      <c r="C440" s="7">
        <v>360</v>
      </c>
      <c r="D440" s="19">
        <v>45747</v>
      </c>
      <c r="E440" s="7">
        <v>12</v>
      </c>
      <c r="F440" s="30">
        <v>218843</v>
      </c>
      <c r="G440" s="30">
        <v>201399.54447656989</v>
      </c>
      <c r="H440" s="28">
        <v>263666.26506024098</v>
      </c>
      <c r="I440" s="7">
        <v>83</v>
      </c>
      <c r="J440" s="7" t="s">
        <v>74</v>
      </c>
      <c r="K440" s="7">
        <v>677</v>
      </c>
      <c r="L440" s="7">
        <v>9</v>
      </c>
      <c r="M440" s="7" t="s">
        <v>59</v>
      </c>
      <c r="N440" s="10">
        <v>6.9840284721382415E-2</v>
      </c>
      <c r="O440" s="7">
        <v>0.12</v>
      </c>
      <c r="P440" s="7">
        <v>0.41</v>
      </c>
    </row>
    <row r="441" spans="1:16" x14ac:dyDescent="0.15">
      <c r="A441" s="7">
        <v>1437</v>
      </c>
      <c r="B441" s="19">
        <v>45331</v>
      </c>
      <c r="C441" s="7">
        <v>360</v>
      </c>
      <c r="D441" s="19">
        <v>45747</v>
      </c>
      <c r="E441" s="7">
        <v>13</v>
      </c>
      <c r="F441" s="30">
        <v>414673</v>
      </c>
      <c r="G441" s="30">
        <v>382936.00927892281</v>
      </c>
      <c r="H441" s="28">
        <v>427497.93814432994</v>
      </c>
      <c r="I441" s="7">
        <v>97</v>
      </c>
      <c r="J441" s="7" t="s">
        <v>68</v>
      </c>
      <c r="K441" s="7">
        <v>828</v>
      </c>
      <c r="L441" s="7">
        <v>4</v>
      </c>
      <c r="M441" s="7" t="s">
        <v>59</v>
      </c>
      <c r="N441" s="10">
        <v>5.8310314512882606E-2</v>
      </c>
      <c r="O441" s="7">
        <v>0.35</v>
      </c>
      <c r="P441" s="7">
        <v>0.3</v>
      </c>
    </row>
    <row r="442" spans="1:16" x14ac:dyDescent="0.15">
      <c r="A442" s="7">
        <v>1438</v>
      </c>
      <c r="B442" s="19">
        <v>45420</v>
      </c>
      <c r="C442" s="7">
        <v>360</v>
      </c>
      <c r="D442" s="19">
        <v>45747</v>
      </c>
      <c r="E442" s="7">
        <v>10</v>
      </c>
      <c r="F442" s="30">
        <v>359742</v>
      </c>
      <c r="G442" s="30">
        <v>340092.61440277676</v>
      </c>
      <c r="H442" s="28">
        <v>386819.35483870964</v>
      </c>
      <c r="I442" s="7">
        <v>93</v>
      </c>
      <c r="J442" s="7" t="s">
        <v>73</v>
      </c>
      <c r="K442" s="7">
        <v>633</v>
      </c>
      <c r="L442" s="7">
        <v>32</v>
      </c>
      <c r="M442" s="7" t="s">
        <v>59</v>
      </c>
      <c r="N442" s="10">
        <v>5.1529454937886993E-2</v>
      </c>
      <c r="O442" s="7">
        <v>0.25</v>
      </c>
      <c r="P442" s="7">
        <v>0.32</v>
      </c>
    </row>
    <row r="443" spans="1:16" x14ac:dyDescent="0.15">
      <c r="A443" s="7">
        <v>1439</v>
      </c>
      <c r="B443" s="19">
        <v>45355</v>
      </c>
      <c r="C443" s="7">
        <v>360</v>
      </c>
      <c r="D443" s="19">
        <v>45747</v>
      </c>
      <c r="E443" s="7">
        <v>12</v>
      </c>
      <c r="F443" s="30">
        <v>515757</v>
      </c>
      <c r="G443" s="30">
        <v>476477.63648328453</v>
      </c>
      <c r="H443" s="28">
        <v>606772.9411764706</v>
      </c>
      <c r="I443" s="7">
        <v>85</v>
      </c>
      <c r="J443" s="7" t="s">
        <v>69</v>
      </c>
      <c r="K443" s="7">
        <v>825</v>
      </c>
      <c r="L443" s="7">
        <v>21</v>
      </c>
      <c r="M443" s="7" t="s">
        <v>59</v>
      </c>
      <c r="N443" s="10">
        <v>6.5393109613490902E-2</v>
      </c>
      <c r="O443" s="7">
        <v>0.12</v>
      </c>
      <c r="P443" s="7">
        <v>0.31</v>
      </c>
    </row>
    <row r="444" spans="1:16" x14ac:dyDescent="0.15">
      <c r="A444" s="7">
        <v>1440</v>
      </c>
      <c r="B444" s="19">
        <v>45296</v>
      </c>
      <c r="C444" s="7">
        <v>360</v>
      </c>
      <c r="D444" s="19">
        <v>45747</v>
      </c>
      <c r="E444" s="7">
        <v>14</v>
      </c>
      <c r="F444" s="30">
        <v>666020</v>
      </c>
      <c r="G444" s="30">
        <v>608075.53421677591</v>
      </c>
      <c r="H444" s="28">
        <v>723934.78260869568</v>
      </c>
      <c r="I444" s="7">
        <v>92</v>
      </c>
      <c r="J444" s="7" t="s">
        <v>70</v>
      </c>
      <c r="K444" s="7">
        <v>611</v>
      </c>
      <c r="L444" s="7">
        <v>32</v>
      </c>
      <c r="M444" s="7" t="s">
        <v>59</v>
      </c>
      <c r="N444" s="10">
        <v>6.3377613288823548E-2</v>
      </c>
      <c r="O444" s="7">
        <v>0.25</v>
      </c>
      <c r="P444" s="7">
        <v>0.37</v>
      </c>
    </row>
    <row r="445" spans="1:16" x14ac:dyDescent="0.15">
      <c r="A445" s="7">
        <v>1441</v>
      </c>
      <c r="B445" s="19">
        <v>45335</v>
      </c>
      <c r="C445" s="7">
        <v>360</v>
      </c>
      <c r="D445" s="19">
        <v>45747</v>
      </c>
      <c r="E445" s="7">
        <v>13</v>
      </c>
      <c r="F445" s="30">
        <v>264670</v>
      </c>
      <c r="G445" s="30">
        <v>242389.88075338906</v>
      </c>
      <c r="H445" s="28">
        <v>311376.4705882353</v>
      </c>
      <c r="I445" s="7">
        <v>85</v>
      </c>
      <c r="J445" s="7" t="s">
        <v>67</v>
      </c>
      <c r="K445" s="7">
        <v>716</v>
      </c>
      <c r="L445" s="7">
        <v>27</v>
      </c>
      <c r="M445" s="7" t="s">
        <v>59</v>
      </c>
      <c r="N445" s="10">
        <v>6.7341405568684842E-2</v>
      </c>
      <c r="O445" s="7">
        <v>0.12</v>
      </c>
      <c r="P445" s="7">
        <v>0.41</v>
      </c>
    </row>
    <row r="446" spans="1:16" x14ac:dyDescent="0.15">
      <c r="A446" s="7">
        <v>1442</v>
      </c>
      <c r="B446" s="19">
        <v>45390</v>
      </c>
      <c r="C446" s="7">
        <v>360</v>
      </c>
      <c r="D446" s="19">
        <v>45747</v>
      </c>
      <c r="E446" s="7">
        <v>11</v>
      </c>
      <c r="F446" s="30">
        <v>773416</v>
      </c>
      <c r="G446" s="30">
        <v>726055.69867563853</v>
      </c>
      <c r="H446" s="28">
        <v>878881.81818181823</v>
      </c>
      <c r="I446" s="7">
        <v>88</v>
      </c>
      <c r="J446" s="7" t="s">
        <v>69</v>
      </c>
      <c r="K446" s="7">
        <v>815</v>
      </c>
      <c r="L446" s="7">
        <v>33</v>
      </c>
      <c r="M446" s="7" t="s">
        <v>59</v>
      </c>
      <c r="N446" s="10">
        <v>5.3221963966547499E-2</v>
      </c>
      <c r="O446" s="7">
        <v>0.12</v>
      </c>
      <c r="P446" s="7">
        <v>0.21</v>
      </c>
    </row>
    <row r="447" spans="1:16" x14ac:dyDescent="0.15">
      <c r="A447" s="7">
        <v>1443</v>
      </c>
      <c r="B447" s="19">
        <v>45365</v>
      </c>
      <c r="C447" s="7">
        <v>360</v>
      </c>
      <c r="D447" s="19">
        <v>45747</v>
      </c>
      <c r="E447" s="7">
        <v>12</v>
      </c>
      <c r="F447" s="30">
        <v>129762</v>
      </c>
      <c r="G447" s="30">
        <v>119128.28162823641</v>
      </c>
      <c r="H447" s="28">
        <v>135168.75</v>
      </c>
      <c r="I447" s="7">
        <v>96</v>
      </c>
      <c r="J447" s="7" t="s">
        <v>67</v>
      </c>
      <c r="K447" s="7">
        <v>654</v>
      </c>
      <c r="L447" s="7">
        <v>45</v>
      </c>
      <c r="M447" s="7" t="s">
        <v>59</v>
      </c>
      <c r="N447" s="10">
        <v>7.2606507898373071E-2</v>
      </c>
      <c r="O447" s="7">
        <v>0.3</v>
      </c>
      <c r="P447" s="7">
        <v>0.43</v>
      </c>
    </row>
    <row r="448" spans="1:16" x14ac:dyDescent="0.15">
      <c r="A448" s="7">
        <v>1444</v>
      </c>
      <c r="B448" s="19">
        <v>45358</v>
      </c>
      <c r="C448" s="7">
        <v>360</v>
      </c>
      <c r="D448" s="19">
        <v>45747</v>
      </c>
      <c r="E448" s="7">
        <v>12</v>
      </c>
      <c r="F448" s="30">
        <v>322031</v>
      </c>
      <c r="G448" s="30">
        <v>295176.01700990973</v>
      </c>
      <c r="H448" s="28">
        <v>378860</v>
      </c>
      <c r="I448" s="7">
        <v>85</v>
      </c>
      <c r="J448" s="7" t="s">
        <v>66</v>
      </c>
      <c r="K448" s="7">
        <v>816</v>
      </c>
      <c r="L448" s="7">
        <v>50</v>
      </c>
      <c r="M448" s="7" t="s">
        <v>59</v>
      </c>
      <c r="N448" s="10">
        <v>7.4374711170438076E-2</v>
      </c>
      <c r="O448" s="7">
        <v>0.12</v>
      </c>
      <c r="P448" s="7">
        <v>0.32</v>
      </c>
    </row>
    <row r="449" spans="1:16" x14ac:dyDescent="0.15">
      <c r="A449" s="7">
        <v>1445</v>
      </c>
      <c r="B449" s="19">
        <v>45418</v>
      </c>
      <c r="C449" s="7">
        <v>360</v>
      </c>
      <c r="D449" s="19">
        <v>45747</v>
      </c>
      <c r="E449" s="7">
        <v>10</v>
      </c>
      <c r="F449" s="30">
        <v>238648</v>
      </c>
      <c r="G449" s="30">
        <v>222403.22743090056</v>
      </c>
      <c r="H449" s="28">
        <v>298310</v>
      </c>
      <c r="I449" s="7">
        <v>80</v>
      </c>
      <c r="J449" s="7" t="s">
        <v>74</v>
      </c>
      <c r="K449" s="7">
        <v>802</v>
      </c>
      <c r="L449" s="7">
        <v>33</v>
      </c>
      <c r="M449" s="7" t="s">
        <v>59</v>
      </c>
      <c r="N449" s="10">
        <v>7.2282275086781297E-2</v>
      </c>
      <c r="O449" s="7">
        <v>0.12</v>
      </c>
      <c r="P449" s="7">
        <v>0.38</v>
      </c>
    </row>
    <row r="450" spans="1:16" x14ac:dyDescent="0.15">
      <c r="A450" s="7">
        <v>1446</v>
      </c>
      <c r="B450" s="19">
        <v>45374</v>
      </c>
      <c r="C450" s="7">
        <v>360</v>
      </c>
      <c r="D450" s="19">
        <v>45747</v>
      </c>
      <c r="E450" s="7">
        <v>12</v>
      </c>
      <c r="F450" s="30">
        <v>352322</v>
      </c>
      <c r="G450" s="30">
        <v>327281.0363164139</v>
      </c>
      <c r="H450" s="28">
        <v>378840.86021505372</v>
      </c>
      <c r="I450" s="7">
        <v>93</v>
      </c>
      <c r="J450" s="7" t="s">
        <v>68</v>
      </c>
      <c r="K450" s="7">
        <v>674</v>
      </c>
      <c r="L450" s="7">
        <v>47</v>
      </c>
      <c r="M450" s="7" t="s">
        <v>59</v>
      </c>
      <c r="N450" s="10">
        <v>5.8866734547136659E-2</v>
      </c>
      <c r="O450" s="7">
        <v>0.25</v>
      </c>
      <c r="P450" s="7">
        <v>0.2</v>
      </c>
    </row>
    <row r="451" spans="1:16" x14ac:dyDescent="0.15">
      <c r="A451" s="7">
        <v>1447</v>
      </c>
      <c r="B451" s="19">
        <v>45347</v>
      </c>
      <c r="C451" s="7">
        <v>360</v>
      </c>
      <c r="D451" s="19">
        <v>45747</v>
      </c>
      <c r="E451" s="7">
        <v>13</v>
      </c>
      <c r="F451" s="30">
        <v>404436</v>
      </c>
      <c r="G451" s="30">
        <v>367669.97938688629</v>
      </c>
      <c r="H451" s="28">
        <v>493214.63414634147</v>
      </c>
      <c r="I451" s="7">
        <v>82</v>
      </c>
      <c r="J451" s="7" t="s">
        <v>62</v>
      </c>
      <c r="K451" s="7">
        <v>823</v>
      </c>
      <c r="L451" s="7">
        <v>47</v>
      </c>
      <c r="M451" s="7" t="s">
        <v>59</v>
      </c>
      <c r="N451" s="10">
        <v>7.501011909711526E-2</v>
      </c>
      <c r="O451" s="7">
        <v>0.12</v>
      </c>
      <c r="P451" s="7">
        <v>0.38</v>
      </c>
    </row>
    <row r="452" spans="1:16" x14ac:dyDescent="0.15">
      <c r="A452" s="7">
        <v>1448</v>
      </c>
      <c r="B452" s="19">
        <v>45305</v>
      </c>
      <c r="C452" s="7">
        <v>360</v>
      </c>
      <c r="D452" s="19">
        <v>45747</v>
      </c>
      <c r="E452" s="7">
        <v>14</v>
      </c>
      <c r="F452" s="30">
        <v>553091</v>
      </c>
      <c r="G452" s="30">
        <v>508818.9199994037</v>
      </c>
      <c r="H452" s="28">
        <v>682828.39506172831</v>
      </c>
      <c r="I452" s="7">
        <v>81</v>
      </c>
      <c r="J452" s="7" t="s">
        <v>69</v>
      </c>
      <c r="K452" s="7">
        <v>723</v>
      </c>
      <c r="L452" s="7">
        <v>28</v>
      </c>
      <c r="M452" s="7" t="s">
        <v>59</v>
      </c>
      <c r="N452" s="10">
        <v>5.5630134216379509E-2</v>
      </c>
      <c r="O452" s="7">
        <v>0.12</v>
      </c>
      <c r="P452" s="7">
        <v>0.36</v>
      </c>
    </row>
    <row r="453" spans="1:16" x14ac:dyDescent="0.15">
      <c r="A453" s="7">
        <v>1449</v>
      </c>
      <c r="B453" s="19">
        <v>45400</v>
      </c>
      <c r="C453" s="7">
        <v>360</v>
      </c>
      <c r="D453" s="19">
        <v>45747</v>
      </c>
      <c r="E453" s="7">
        <v>11</v>
      </c>
      <c r="F453" s="30">
        <v>782717</v>
      </c>
      <c r="G453" s="30">
        <v>730891.88219678425</v>
      </c>
      <c r="H453" s="28">
        <v>832677.65957446815</v>
      </c>
      <c r="I453" s="7">
        <v>94</v>
      </c>
      <c r="J453" s="7" t="s">
        <v>67</v>
      </c>
      <c r="K453" s="7">
        <v>707</v>
      </c>
      <c r="L453" s="7">
        <v>3</v>
      </c>
      <c r="M453" s="7" t="s">
        <v>59</v>
      </c>
      <c r="N453" s="10">
        <v>6.0369107352569562E-2</v>
      </c>
      <c r="O453" s="7">
        <v>0.25</v>
      </c>
      <c r="P453" s="7">
        <v>0.26</v>
      </c>
    </row>
    <row r="454" spans="1:16" x14ac:dyDescent="0.15">
      <c r="A454" s="7">
        <v>1450</v>
      </c>
      <c r="B454" s="19">
        <v>45302</v>
      </c>
      <c r="C454" s="7">
        <v>360</v>
      </c>
      <c r="D454" s="19">
        <v>45747</v>
      </c>
      <c r="E454" s="7">
        <v>14</v>
      </c>
      <c r="F454" s="30">
        <v>588961</v>
      </c>
      <c r="G454" s="30">
        <v>541796.32593270484</v>
      </c>
      <c r="H454" s="28">
        <v>626554.255319149</v>
      </c>
      <c r="I454" s="7">
        <v>94</v>
      </c>
      <c r="J454" s="7" t="s">
        <v>63</v>
      </c>
      <c r="K454" s="7">
        <v>695</v>
      </c>
      <c r="L454" s="7">
        <v>49</v>
      </c>
      <c r="M454" s="7" t="s">
        <v>59</v>
      </c>
      <c r="N454" s="10">
        <v>5.5671337325657939E-2</v>
      </c>
      <c r="O454" s="7">
        <v>0.25</v>
      </c>
      <c r="P454" s="7">
        <v>0.22</v>
      </c>
    </row>
    <row r="455" spans="1:16" x14ac:dyDescent="0.15">
      <c r="A455" s="7">
        <v>1451</v>
      </c>
      <c r="B455" s="19">
        <v>45296</v>
      </c>
      <c r="C455" s="7">
        <v>360</v>
      </c>
      <c r="D455" s="19">
        <v>45747</v>
      </c>
      <c r="E455" s="7">
        <v>14</v>
      </c>
      <c r="F455" s="30">
        <v>494380</v>
      </c>
      <c r="G455" s="30">
        <v>455348.33112246427</v>
      </c>
      <c r="H455" s="28">
        <v>561795.45454545459</v>
      </c>
      <c r="I455" s="7">
        <v>88</v>
      </c>
      <c r="J455" s="7" t="s">
        <v>69</v>
      </c>
      <c r="K455" s="7">
        <v>625</v>
      </c>
      <c r="L455" s="7">
        <v>12</v>
      </c>
      <c r="M455" s="7" t="s">
        <v>59</v>
      </c>
      <c r="N455" s="10">
        <v>5.4384594594202709E-2</v>
      </c>
      <c r="O455" s="7">
        <v>0.12</v>
      </c>
      <c r="P455" s="7">
        <v>0.34</v>
      </c>
    </row>
    <row r="456" spans="1:16" x14ac:dyDescent="0.15">
      <c r="A456" s="7">
        <v>1452</v>
      </c>
      <c r="B456" s="19">
        <v>45337</v>
      </c>
      <c r="C456" s="7">
        <v>360</v>
      </c>
      <c r="D456" s="19">
        <v>45747</v>
      </c>
      <c r="E456" s="7">
        <v>13</v>
      </c>
      <c r="F456" s="30">
        <v>767511</v>
      </c>
      <c r="G456" s="30">
        <v>713872.83158600307</v>
      </c>
      <c r="H456" s="28">
        <v>862371.91011235956</v>
      </c>
      <c r="I456" s="7">
        <v>89</v>
      </c>
      <c r="J456" s="7" t="s">
        <v>64</v>
      </c>
      <c r="K456" s="7">
        <v>773</v>
      </c>
      <c r="L456" s="7">
        <v>7</v>
      </c>
      <c r="M456" s="7" t="s">
        <v>59</v>
      </c>
      <c r="N456" s="10">
        <v>5.0124628859082136E-2</v>
      </c>
      <c r="O456" s="7">
        <v>0.12</v>
      </c>
      <c r="P456" s="7">
        <v>0.26</v>
      </c>
    </row>
    <row r="457" spans="1:16" x14ac:dyDescent="0.15">
      <c r="A457" s="7">
        <v>1453</v>
      </c>
      <c r="B457" s="19">
        <v>45422</v>
      </c>
      <c r="C457" s="7">
        <v>360</v>
      </c>
      <c r="D457" s="19">
        <v>45747</v>
      </c>
      <c r="E457" s="7">
        <v>10</v>
      </c>
      <c r="F457" s="30">
        <v>221791</v>
      </c>
      <c r="G457" s="30">
        <v>207247.8931726325</v>
      </c>
      <c r="H457" s="28">
        <v>243726.37362637362</v>
      </c>
      <c r="I457" s="7">
        <v>91</v>
      </c>
      <c r="J457" s="7" t="s">
        <v>73</v>
      </c>
      <c r="K457" s="7">
        <v>800</v>
      </c>
      <c r="L457" s="7">
        <v>42</v>
      </c>
      <c r="M457" s="7" t="s">
        <v>59</v>
      </c>
      <c r="N457" s="10">
        <v>6.8567856607236438E-2</v>
      </c>
      <c r="O457" s="7">
        <v>0.25</v>
      </c>
      <c r="P457" s="7">
        <v>0.24</v>
      </c>
    </row>
    <row r="458" spans="1:16" x14ac:dyDescent="0.15">
      <c r="A458" s="7">
        <v>1454</v>
      </c>
      <c r="B458" s="19">
        <v>45458</v>
      </c>
      <c r="C458" s="7">
        <v>360</v>
      </c>
      <c r="D458" s="19">
        <v>45747</v>
      </c>
      <c r="E458" s="7">
        <v>9</v>
      </c>
      <c r="F458" s="30">
        <v>619598</v>
      </c>
      <c r="G458" s="30">
        <v>588493.7218598933</v>
      </c>
      <c r="H458" s="28">
        <v>764935.80246913573</v>
      </c>
      <c r="I458" s="7">
        <v>81</v>
      </c>
      <c r="J458" s="7" t="s">
        <v>67</v>
      </c>
      <c r="K458" s="7">
        <v>820</v>
      </c>
      <c r="L458" s="7">
        <v>49</v>
      </c>
      <c r="M458" s="7" t="s">
        <v>59</v>
      </c>
      <c r="N458" s="10">
        <v>5.3399157952982203E-2</v>
      </c>
      <c r="O458" s="7">
        <v>0.12</v>
      </c>
      <c r="P458" s="7">
        <v>0.4</v>
      </c>
    </row>
    <row r="459" spans="1:16" x14ac:dyDescent="0.15">
      <c r="A459" s="7">
        <v>1455</v>
      </c>
      <c r="B459" s="19">
        <v>45450</v>
      </c>
      <c r="C459" s="7">
        <v>360</v>
      </c>
      <c r="D459" s="19">
        <v>45747</v>
      </c>
      <c r="E459" s="7">
        <v>9</v>
      </c>
      <c r="F459" s="30">
        <v>776119</v>
      </c>
      <c r="G459" s="30">
        <v>726589.30662165955</v>
      </c>
      <c r="H459" s="28">
        <v>970148.75</v>
      </c>
      <c r="I459" s="7">
        <v>80</v>
      </c>
      <c r="J459" s="7" t="s">
        <v>73</v>
      </c>
      <c r="K459" s="7">
        <v>767</v>
      </c>
      <c r="L459" s="7">
        <v>23</v>
      </c>
      <c r="M459" s="7" t="s">
        <v>59</v>
      </c>
      <c r="N459" s="10">
        <v>7.6436814121182653E-2</v>
      </c>
      <c r="O459" s="7">
        <v>0.12</v>
      </c>
      <c r="P459" s="7">
        <v>0.42</v>
      </c>
    </row>
    <row r="460" spans="1:16" x14ac:dyDescent="0.15">
      <c r="A460" s="7">
        <v>1456</v>
      </c>
      <c r="B460" s="19">
        <v>45360</v>
      </c>
      <c r="C460" s="7">
        <v>360</v>
      </c>
      <c r="D460" s="19">
        <v>45747</v>
      </c>
      <c r="E460" s="7">
        <v>12</v>
      </c>
      <c r="F460" s="30">
        <v>309084</v>
      </c>
      <c r="G460" s="30">
        <v>284776.67201368138</v>
      </c>
      <c r="H460" s="28">
        <v>332348.38709677418</v>
      </c>
      <c r="I460" s="7">
        <v>93</v>
      </c>
      <c r="J460" s="7" t="s">
        <v>67</v>
      </c>
      <c r="K460" s="7">
        <v>792</v>
      </c>
      <c r="L460" s="7">
        <v>17</v>
      </c>
      <c r="M460" s="7" t="s">
        <v>59</v>
      </c>
      <c r="N460" s="10">
        <v>6.8514990334971104E-2</v>
      </c>
      <c r="O460" s="7">
        <v>0.25</v>
      </c>
      <c r="P460" s="7">
        <v>0.35</v>
      </c>
    </row>
    <row r="461" spans="1:16" x14ac:dyDescent="0.15">
      <c r="A461" s="7">
        <v>1457</v>
      </c>
      <c r="B461" s="19">
        <v>45397</v>
      </c>
      <c r="C461" s="7">
        <v>360</v>
      </c>
      <c r="D461" s="19">
        <v>45747</v>
      </c>
      <c r="E461" s="7">
        <v>11</v>
      </c>
      <c r="F461" s="30">
        <v>501700</v>
      </c>
      <c r="G461" s="30">
        <v>471829.83202295721</v>
      </c>
      <c r="H461" s="28">
        <v>517216.49484536087</v>
      </c>
      <c r="I461" s="7">
        <v>97</v>
      </c>
      <c r="J461" s="7" t="s">
        <v>73</v>
      </c>
      <c r="K461" s="7">
        <v>710</v>
      </c>
      <c r="L461" s="7">
        <v>24</v>
      </c>
      <c r="M461" s="7" t="s">
        <v>59</v>
      </c>
      <c r="N461" s="10">
        <v>5.0723772143079063E-2</v>
      </c>
      <c r="O461" s="7">
        <v>0.35</v>
      </c>
      <c r="P461" s="7">
        <v>0.36</v>
      </c>
    </row>
    <row r="462" spans="1:16" x14ac:dyDescent="0.15">
      <c r="A462" s="7">
        <v>1458</v>
      </c>
      <c r="B462" s="19">
        <v>45315</v>
      </c>
      <c r="C462" s="7">
        <v>360</v>
      </c>
      <c r="D462" s="19">
        <v>45747</v>
      </c>
      <c r="E462" s="7">
        <v>14</v>
      </c>
      <c r="F462" s="30">
        <v>761618</v>
      </c>
      <c r="G462" s="30">
        <v>688905.74534114019</v>
      </c>
      <c r="H462" s="28">
        <v>810231.91489361704</v>
      </c>
      <c r="I462" s="7">
        <v>94</v>
      </c>
      <c r="J462" s="7" t="s">
        <v>72</v>
      </c>
      <c r="K462" s="7">
        <v>788</v>
      </c>
      <c r="L462" s="7">
        <v>20</v>
      </c>
      <c r="M462" s="7" t="s">
        <v>59</v>
      </c>
      <c r="N462" s="10">
        <v>7.2464284821864275E-2</v>
      </c>
      <c r="O462" s="7">
        <v>0.25</v>
      </c>
      <c r="P462" s="7">
        <v>0.26</v>
      </c>
    </row>
    <row r="463" spans="1:16" x14ac:dyDescent="0.15">
      <c r="A463" s="7">
        <v>1459</v>
      </c>
      <c r="B463" s="19">
        <v>45454</v>
      </c>
      <c r="C463" s="7">
        <v>360</v>
      </c>
      <c r="D463" s="19">
        <v>45747</v>
      </c>
      <c r="E463" s="7">
        <v>9</v>
      </c>
      <c r="F463" s="30">
        <v>175072</v>
      </c>
      <c r="G463" s="30">
        <v>164502.73846365468</v>
      </c>
      <c r="H463" s="28">
        <v>188249.46236559137</v>
      </c>
      <c r="I463" s="7">
        <v>93</v>
      </c>
      <c r="J463" s="7" t="s">
        <v>67</v>
      </c>
      <c r="K463" s="7">
        <v>780</v>
      </c>
      <c r="L463" s="7">
        <v>34</v>
      </c>
      <c r="M463" s="7" t="s">
        <v>59</v>
      </c>
      <c r="N463" s="10">
        <v>7.0815484286269992E-2</v>
      </c>
      <c r="O463" s="7">
        <v>0.25</v>
      </c>
      <c r="P463" s="7">
        <v>0.34</v>
      </c>
    </row>
    <row r="464" spans="1:16" x14ac:dyDescent="0.15">
      <c r="A464" s="7">
        <v>1460</v>
      </c>
      <c r="B464" s="19">
        <v>45461</v>
      </c>
      <c r="C464" s="7">
        <v>360</v>
      </c>
      <c r="D464" s="19">
        <v>45747</v>
      </c>
      <c r="E464" s="7">
        <v>9</v>
      </c>
      <c r="F464" s="30">
        <v>604970</v>
      </c>
      <c r="G464" s="30">
        <v>572480.84286762308</v>
      </c>
      <c r="H464" s="28">
        <v>711729.4117647059</v>
      </c>
      <c r="I464" s="7">
        <v>85</v>
      </c>
      <c r="J464" s="7" t="s">
        <v>69</v>
      </c>
      <c r="K464" s="7">
        <v>708</v>
      </c>
      <c r="L464" s="7">
        <v>3</v>
      </c>
      <c r="M464" s="7" t="s">
        <v>59</v>
      </c>
      <c r="N464" s="10">
        <v>5.9557461152715235E-2</v>
      </c>
      <c r="O464" s="7">
        <v>0.12</v>
      </c>
      <c r="P464" s="7">
        <v>0.45</v>
      </c>
    </row>
    <row r="465" spans="1:16" x14ac:dyDescent="0.15">
      <c r="A465" s="7">
        <v>1461</v>
      </c>
      <c r="B465" s="19">
        <v>45431</v>
      </c>
      <c r="C465" s="7">
        <v>360</v>
      </c>
      <c r="D465" s="19">
        <v>45747</v>
      </c>
      <c r="E465" s="7">
        <v>10</v>
      </c>
      <c r="F465" s="30">
        <v>258062</v>
      </c>
      <c r="G465" s="30">
        <v>242847.6809338071</v>
      </c>
      <c r="H465" s="28">
        <v>293252.27272727271</v>
      </c>
      <c r="I465" s="7">
        <v>88</v>
      </c>
      <c r="J465" s="7" t="s">
        <v>61</v>
      </c>
      <c r="K465" s="7">
        <v>814</v>
      </c>
      <c r="L465" s="7">
        <v>3</v>
      </c>
      <c r="M465" s="7" t="s">
        <v>59</v>
      </c>
      <c r="N465" s="10">
        <v>5.8440412345118924E-2</v>
      </c>
      <c r="O465" s="7">
        <v>0.12</v>
      </c>
      <c r="P465" s="7">
        <v>0.24</v>
      </c>
    </row>
    <row r="466" spans="1:16" x14ac:dyDescent="0.15">
      <c r="A466" s="7">
        <v>1462</v>
      </c>
      <c r="B466" s="19">
        <v>45344</v>
      </c>
      <c r="C466" s="7">
        <v>360</v>
      </c>
      <c r="D466" s="19">
        <v>45747</v>
      </c>
      <c r="E466" s="7">
        <v>13</v>
      </c>
      <c r="F466" s="30">
        <v>412052</v>
      </c>
      <c r="G466" s="30">
        <v>381020.71909996495</v>
      </c>
      <c r="H466" s="28">
        <v>429220.83333333337</v>
      </c>
      <c r="I466" s="7">
        <v>96</v>
      </c>
      <c r="J466" s="7" t="s">
        <v>62</v>
      </c>
      <c r="K466" s="7">
        <v>780</v>
      </c>
      <c r="L466" s="7">
        <v>14</v>
      </c>
      <c r="M466" s="7" t="s">
        <v>59</v>
      </c>
      <c r="N466" s="10">
        <v>5.6826444307971118E-2</v>
      </c>
      <c r="O466" s="7">
        <v>0.3</v>
      </c>
      <c r="P466" s="7">
        <v>0.27</v>
      </c>
    </row>
    <row r="467" spans="1:16" x14ac:dyDescent="0.15">
      <c r="A467" s="7">
        <v>1463</v>
      </c>
      <c r="B467" s="19">
        <v>45414</v>
      </c>
      <c r="C467" s="7">
        <v>360</v>
      </c>
      <c r="D467" s="19">
        <v>45747</v>
      </c>
      <c r="E467" s="7">
        <v>10</v>
      </c>
      <c r="F467" s="30">
        <v>751784</v>
      </c>
      <c r="G467" s="30">
        <v>698496.02200816211</v>
      </c>
      <c r="H467" s="28">
        <v>894980.95238095243</v>
      </c>
      <c r="I467" s="7">
        <v>84</v>
      </c>
      <c r="J467" s="7" t="s">
        <v>63</v>
      </c>
      <c r="K467" s="7">
        <v>670</v>
      </c>
      <c r="L467" s="7">
        <v>49</v>
      </c>
      <c r="M467" s="7" t="s">
        <v>59</v>
      </c>
      <c r="N467" s="10">
        <v>7.6399189381459176E-2</v>
      </c>
      <c r="O467" s="7">
        <v>0.12</v>
      </c>
      <c r="P467" s="7">
        <v>0.37</v>
      </c>
    </row>
    <row r="468" spans="1:16" x14ac:dyDescent="0.15">
      <c r="A468" s="7">
        <v>1464</v>
      </c>
      <c r="B468" s="19">
        <v>45309</v>
      </c>
      <c r="C468" s="7">
        <v>360</v>
      </c>
      <c r="D468" s="19">
        <v>45747</v>
      </c>
      <c r="E468" s="7">
        <v>14</v>
      </c>
      <c r="F468" s="30">
        <v>701342</v>
      </c>
      <c r="G468" s="30">
        <v>640458.08506849734</v>
      </c>
      <c r="H468" s="28">
        <v>746108.51063829788</v>
      </c>
      <c r="I468" s="7">
        <v>94</v>
      </c>
      <c r="J468" s="7" t="s">
        <v>72</v>
      </c>
      <c r="K468" s="7">
        <v>602</v>
      </c>
      <c r="L468" s="7">
        <v>11</v>
      </c>
      <c r="M468" s="7" t="s">
        <v>59</v>
      </c>
      <c r="N468" s="10">
        <v>6.3169126796175187E-2</v>
      </c>
      <c r="O468" s="7">
        <v>0.25</v>
      </c>
      <c r="P468" s="7">
        <v>0.22</v>
      </c>
    </row>
    <row r="469" spans="1:16" x14ac:dyDescent="0.15">
      <c r="A469" s="7">
        <v>1465</v>
      </c>
      <c r="B469" s="19">
        <v>45421</v>
      </c>
      <c r="C469" s="7">
        <v>360</v>
      </c>
      <c r="D469" s="19">
        <v>45747</v>
      </c>
      <c r="E469" s="7">
        <v>10</v>
      </c>
      <c r="F469" s="30">
        <v>582079</v>
      </c>
      <c r="G469" s="30">
        <v>544955.96463185677</v>
      </c>
      <c r="H469" s="28">
        <v>718616.04938271595</v>
      </c>
      <c r="I469" s="7">
        <v>81</v>
      </c>
      <c r="J469" s="7" t="s">
        <v>71</v>
      </c>
      <c r="K469" s="7">
        <v>768</v>
      </c>
      <c r="L469" s="7">
        <v>40</v>
      </c>
      <c r="M469" s="7" t="s">
        <v>59</v>
      </c>
      <c r="N469" s="10">
        <v>6.5864829442373776E-2</v>
      </c>
      <c r="O469" s="7">
        <v>0.12</v>
      </c>
      <c r="P469" s="7">
        <v>0.39</v>
      </c>
    </row>
    <row r="470" spans="1:16" x14ac:dyDescent="0.15">
      <c r="A470" s="7">
        <v>1466</v>
      </c>
      <c r="B470" s="19">
        <v>45454</v>
      </c>
      <c r="C470" s="7">
        <v>360</v>
      </c>
      <c r="D470" s="19">
        <v>45747</v>
      </c>
      <c r="E470" s="7">
        <v>9</v>
      </c>
      <c r="F470" s="30">
        <v>398294</v>
      </c>
      <c r="G470" s="30">
        <v>372984.8303005973</v>
      </c>
      <c r="H470" s="28">
        <v>410612.37113402062</v>
      </c>
      <c r="I470" s="7">
        <v>97</v>
      </c>
      <c r="J470" s="7" t="s">
        <v>70</v>
      </c>
      <c r="K470" s="7">
        <v>734</v>
      </c>
      <c r="L470" s="7">
        <v>27</v>
      </c>
      <c r="M470" s="7" t="s">
        <v>59</v>
      </c>
      <c r="N470" s="10">
        <v>7.5995493866122629E-2</v>
      </c>
      <c r="O470" s="7">
        <v>0.35</v>
      </c>
      <c r="P470" s="7">
        <v>0.24</v>
      </c>
    </row>
    <row r="471" spans="1:16" x14ac:dyDescent="0.15">
      <c r="A471" s="7">
        <v>1467</v>
      </c>
      <c r="B471" s="19">
        <v>45369</v>
      </c>
      <c r="C471" s="7">
        <v>360</v>
      </c>
      <c r="D471" s="19">
        <v>45747</v>
      </c>
      <c r="E471" s="7">
        <v>12</v>
      </c>
      <c r="F471" s="30">
        <v>299515</v>
      </c>
      <c r="G471" s="30">
        <v>274229.46602960932</v>
      </c>
      <c r="H471" s="28">
        <v>329137.36263736262</v>
      </c>
      <c r="I471" s="7">
        <v>91</v>
      </c>
      <c r="J471" s="7" t="s">
        <v>64</v>
      </c>
      <c r="K471" s="7">
        <v>696</v>
      </c>
      <c r="L471" s="7">
        <v>40</v>
      </c>
      <c r="M471" s="7" t="s">
        <v>59</v>
      </c>
      <c r="N471" s="10">
        <v>7.562705564134925E-2</v>
      </c>
      <c r="O471" s="7">
        <v>0.25</v>
      </c>
      <c r="P471" s="7">
        <v>0.4</v>
      </c>
    </row>
    <row r="472" spans="1:16" x14ac:dyDescent="0.15">
      <c r="A472" s="7">
        <v>1468</v>
      </c>
      <c r="B472" s="19">
        <v>45317</v>
      </c>
      <c r="C472" s="7">
        <v>360</v>
      </c>
      <c r="D472" s="19">
        <v>45747</v>
      </c>
      <c r="E472" s="7">
        <v>14</v>
      </c>
      <c r="F472" s="30">
        <v>237279</v>
      </c>
      <c r="G472" s="30">
        <v>214494.71008101109</v>
      </c>
      <c r="H472" s="28">
        <v>247165.625</v>
      </c>
      <c r="I472" s="7">
        <v>96</v>
      </c>
      <c r="J472" s="7" t="s">
        <v>70</v>
      </c>
      <c r="K472" s="7">
        <v>833</v>
      </c>
      <c r="L472" s="7">
        <v>27</v>
      </c>
      <c r="M472" s="7" t="s">
        <v>59</v>
      </c>
      <c r="N472" s="10">
        <v>7.304548013523901E-2</v>
      </c>
      <c r="O472" s="7">
        <v>0.3</v>
      </c>
      <c r="P472" s="7">
        <v>0.32</v>
      </c>
    </row>
    <row r="473" spans="1:16" x14ac:dyDescent="0.15">
      <c r="A473" s="7">
        <v>1469</v>
      </c>
      <c r="B473" s="19">
        <v>45379</v>
      </c>
      <c r="C473" s="7">
        <v>360</v>
      </c>
      <c r="D473" s="19">
        <v>45747</v>
      </c>
      <c r="E473" s="7">
        <v>12</v>
      </c>
      <c r="F473" s="30">
        <v>113836</v>
      </c>
      <c r="G473" s="30">
        <v>104221.48294983523</v>
      </c>
      <c r="H473" s="28">
        <v>140538.27160493826</v>
      </c>
      <c r="I473" s="7">
        <v>81</v>
      </c>
      <c r="J473" s="7" t="s">
        <v>63</v>
      </c>
      <c r="K473" s="7">
        <v>685</v>
      </c>
      <c r="L473" s="7">
        <v>39</v>
      </c>
      <c r="M473" s="7" t="s">
        <v>59</v>
      </c>
      <c r="N473" s="10">
        <v>7.5672919041212469E-2</v>
      </c>
      <c r="O473" s="7">
        <v>0.12</v>
      </c>
      <c r="P473" s="7">
        <v>0.32</v>
      </c>
    </row>
    <row r="474" spans="1:16" x14ac:dyDescent="0.15">
      <c r="A474" s="7">
        <v>1470</v>
      </c>
      <c r="B474" s="19">
        <v>45324</v>
      </c>
      <c r="C474" s="7">
        <v>360</v>
      </c>
      <c r="D474" s="19">
        <v>45747</v>
      </c>
      <c r="E474" s="7">
        <v>13</v>
      </c>
      <c r="F474" s="30">
        <v>163327</v>
      </c>
      <c r="G474" s="30">
        <v>151218.20859072189</v>
      </c>
      <c r="H474" s="28">
        <v>189915.11627906977</v>
      </c>
      <c r="I474" s="7">
        <v>86</v>
      </c>
      <c r="J474" s="7" t="s">
        <v>64</v>
      </c>
      <c r="K474" s="7">
        <v>776</v>
      </c>
      <c r="L474" s="7">
        <v>17</v>
      </c>
      <c r="M474" s="7" t="s">
        <v>59</v>
      </c>
      <c r="N474" s="10">
        <v>5.5398992611579961E-2</v>
      </c>
      <c r="O474" s="7">
        <v>0.12</v>
      </c>
      <c r="P474" s="7">
        <v>0.21</v>
      </c>
    </row>
    <row r="475" spans="1:16" x14ac:dyDescent="0.15">
      <c r="A475" s="7">
        <v>1471</v>
      </c>
      <c r="B475" s="19">
        <v>45337</v>
      </c>
      <c r="C475" s="7">
        <v>360</v>
      </c>
      <c r="D475" s="19">
        <v>45747</v>
      </c>
      <c r="E475" s="7">
        <v>13</v>
      </c>
      <c r="F475" s="30">
        <v>129213</v>
      </c>
      <c r="G475" s="30">
        <v>118607.84702049805</v>
      </c>
      <c r="H475" s="28">
        <v>137460.63829787236</v>
      </c>
      <c r="I475" s="7">
        <v>94</v>
      </c>
      <c r="J475" s="7" t="s">
        <v>67</v>
      </c>
      <c r="K475" s="7">
        <v>781</v>
      </c>
      <c r="L475" s="7">
        <v>42</v>
      </c>
      <c r="M475" s="7" t="s">
        <v>59</v>
      </c>
      <c r="N475" s="10">
        <v>6.4890172614374117E-2</v>
      </c>
      <c r="O475" s="7">
        <v>0.25</v>
      </c>
      <c r="P475" s="7">
        <v>0.22</v>
      </c>
    </row>
    <row r="476" spans="1:16" x14ac:dyDescent="0.15">
      <c r="A476" s="7">
        <v>1472</v>
      </c>
      <c r="B476" s="19">
        <v>45302</v>
      </c>
      <c r="C476" s="7">
        <v>360</v>
      </c>
      <c r="D476" s="19">
        <v>45747</v>
      </c>
      <c r="E476" s="7">
        <v>14</v>
      </c>
      <c r="F476" s="30">
        <v>714553</v>
      </c>
      <c r="G476" s="30">
        <v>656114.36005469318</v>
      </c>
      <c r="H476" s="28">
        <v>840650.5882352941</v>
      </c>
      <c r="I476" s="7">
        <v>85</v>
      </c>
      <c r="J476" s="7" t="s">
        <v>73</v>
      </c>
      <c r="K476" s="7">
        <v>720</v>
      </c>
      <c r="L476" s="7">
        <v>4</v>
      </c>
      <c r="M476" s="7" t="s">
        <v>59</v>
      </c>
      <c r="N476" s="10">
        <v>5.759363242530649E-2</v>
      </c>
      <c r="O476" s="7">
        <v>0.12</v>
      </c>
      <c r="P476" s="7">
        <v>0.2</v>
      </c>
    </row>
    <row r="477" spans="1:16" x14ac:dyDescent="0.15">
      <c r="A477" s="7">
        <v>1473</v>
      </c>
      <c r="B477" s="19">
        <v>45326</v>
      </c>
      <c r="C477" s="7">
        <v>360</v>
      </c>
      <c r="D477" s="19">
        <v>45747</v>
      </c>
      <c r="E477" s="7">
        <v>13</v>
      </c>
      <c r="F477" s="30">
        <v>123711</v>
      </c>
      <c r="G477" s="30">
        <v>113364.13249164319</v>
      </c>
      <c r="H477" s="28">
        <v>143850</v>
      </c>
      <c r="I477" s="7">
        <v>86</v>
      </c>
      <c r="J477" s="7" t="s">
        <v>61</v>
      </c>
      <c r="K477" s="7">
        <v>607</v>
      </c>
      <c r="L477" s="7">
        <v>17</v>
      </c>
      <c r="M477" s="7" t="s">
        <v>59</v>
      </c>
      <c r="N477" s="10">
        <v>6.6711383362864737E-2</v>
      </c>
      <c r="O477" s="7">
        <v>0.12</v>
      </c>
      <c r="P477" s="7">
        <v>0.35</v>
      </c>
    </row>
    <row r="478" spans="1:16" x14ac:dyDescent="0.15">
      <c r="A478" s="7">
        <v>1474</v>
      </c>
      <c r="B478" s="19">
        <v>45361</v>
      </c>
      <c r="C478" s="7">
        <v>360</v>
      </c>
      <c r="D478" s="19">
        <v>45747</v>
      </c>
      <c r="E478" s="7">
        <v>12</v>
      </c>
      <c r="F478" s="30">
        <v>420828</v>
      </c>
      <c r="G478" s="30">
        <v>385465.20401731355</v>
      </c>
      <c r="H478" s="28">
        <v>438362.5</v>
      </c>
      <c r="I478" s="7">
        <v>96</v>
      </c>
      <c r="J478" s="7" t="s">
        <v>71</v>
      </c>
      <c r="K478" s="7">
        <v>686</v>
      </c>
      <c r="L478" s="7">
        <v>24</v>
      </c>
      <c r="M478" s="7" t="s">
        <v>59</v>
      </c>
      <c r="N478" s="10">
        <v>7.5152968257448591E-2</v>
      </c>
      <c r="O478" s="7">
        <v>0.3</v>
      </c>
      <c r="P478" s="7">
        <v>0.21</v>
      </c>
    </row>
    <row r="479" spans="1:16" x14ac:dyDescent="0.15">
      <c r="A479" s="7">
        <v>1475</v>
      </c>
      <c r="B479" s="19">
        <v>45305</v>
      </c>
      <c r="C479" s="7">
        <v>360</v>
      </c>
      <c r="D479" s="19">
        <v>45747</v>
      </c>
      <c r="E479" s="7">
        <v>14</v>
      </c>
      <c r="F479" s="30">
        <v>617228</v>
      </c>
      <c r="G479" s="30">
        <v>568980.75657634321</v>
      </c>
      <c r="H479" s="28">
        <v>670900</v>
      </c>
      <c r="I479" s="7">
        <v>92</v>
      </c>
      <c r="J479" s="7" t="s">
        <v>69</v>
      </c>
      <c r="K479" s="7">
        <v>804</v>
      </c>
      <c r="L479" s="7">
        <v>47</v>
      </c>
      <c r="M479" s="7" t="s">
        <v>59</v>
      </c>
      <c r="N479" s="10">
        <v>5.3488185647001106E-2</v>
      </c>
      <c r="O479" s="7">
        <v>0.25</v>
      </c>
      <c r="P479" s="7">
        <v>0.31</v>
      </c>
    </row>
    <row r="480" spans="1:16" x14ac:dyDescent="0.15">
      <c r="A480" s="7">
        <v>1476</v>
      </c>
      <c r="B480" s="19">
        <v>45297</v>
      </c>
      <c r="C480" s="7">
        <v>360</v>
      </c>
      <c r="D480" s="19">
        <v>45747</v>
      </c>
      <c r="E480" s="7">
        <v>14</v>
      </c>
      <c r="F480" s="30">
        <v>548431</v>
      </c>
      <c r="G480" s="30">
        <v>492466.78266231378</v>
      </c>
      <c r="H480" s="28">
        <v>602671.42857142852</v>
      </c>
      <c r="I480" s="7">
        <v>91</v>
      </c>
      <c r="J480" s="7" t="s">
        <v>67</v>
      </c>
      <c r="K480" s="7">
        <v>681</v>
      </c>
      <c r="L480" s="7">
        <v>33</v>
      </c>
      <c r="M480" s="7" t="s">
        <v>59</v>
      </c>
      <c r="N480" s="10">
        <v>7.9299527177002282E-2</v>
      </c>
      <c r="O480" s="7">
        <v>0.25</v>
      </c>
      <c r="P480" s="7">
        <v>0.2</v>
      </c>
    </row>
    <row r="481" spans="1:16" x14ac:dyDescent="0.15">
      <c r="A481" s="7">
        <v>1477</v>
      </c>
      <c r="B481" s="19">
        <v>45440</v>
      </c>
      <c r="C481" s="7">
        <v>360</v>
      </c>
      <c r="D481" s="19">
        <v>45747</v>
      </c>
      <c r="E481" s="7">
        <v>10</v>
      </c>
      <c r="F481" s="30">
        <v>544546</v>
      </c>
      <c r="G481" s="30">
        <v>509354.96224364208</v>
      </c>
      <c r="H481" s="28">
        <v>605051.11111111112</v>
      </c>
      <c r="I481" s="7">
        <v>90</v>
      </c>
      <c r="J481" s="7" t="s">
        <v>68</v>
      </c>
      <c r="K481" s="7">
        <v>693</v>
      </c>
      <c r="L481" s="7">
        <v>32</v>
      </c>
      <c r="M481" s="7" t="s">
        <v>59</v>
      </c>
      <c r="N481" s="10">
        <v>6.7145807981599637E-2</v>
      </c>
      <c r="O481" s="7">
        <v>0.25</v>
      </c>
      <c r="P481" s="7">
        <v>0.4</v>
      </c>
    </row>
    <row r="482" spans="1:16" x14ac:dyDescent="0.15">
      <c r="A482" s="7">
        <v>1478</v>
      </c>
      <c r="B482" s="19">
        <v>45361</v>
      </c>
      <c r="C482" s="7">
        <v>360</v>
      </c>
      <c r="D482" s="19">
        <v>45747</v>
      </c>
      <c r="E482" s="7">
        <v>12</v>
      </c>
      <c r="F482" s="30">
        <v>347035</v>
      </c>
      <c r="G482" s="30">
        <v>318507.75718421314</v>
      </c>
      <c r="H482" s="28">
        <v>385594.44444444444</v>
      </c>
      <c r="I482" s="7">
        <v>90</v>
      </c>
      <c r="J482" s="7" t="s">
        <v>64</v>
      </c>
      <c r="K482" s="7">
        <v>667</v>
      </c>
      <c r="L482" s="7">
        <v>46</v>
      </c>
      <c r="M482" s="7" t="s">
        <v>59</v>
      </c>
      <c r="N482" s="10">
        <v>7.2919388826457612E-2</v>
      </c>
      <c r="O482" s="7">
        <v>0.25</v>
      </c>
      <c r="P482" s="7">
        <v>0.27</v>
      </c>
    </row>
    <row r="483" spans="1:16" x14ac:dyDescent="0.15">
      <c r="A483" s="7">
        <v>1479</v>
      </c>
      <c r="B483" s="19">
        <v>45422</v>
      </c>
      <c r="C483" s="7">
        <v>360</v>
      </c>
      <c r="D483" s="19">
        <v>45747</v>
      </c>
      <c r="E483" s="7">
        <v>10</v>
      </c>
      <c r="F483" s="30">
        <v>781184</v>
      </c>
      <c r="G483" s="30">
        <v>734719.01496191567</v>
      </c>
      <c r="H483" s="28">
        <v>919040</v>
      </c>
      <c r="I483" s="7">
        <v>85</v>
      </c>
      <c r="J483" s="7" t="s">
        <v>60</v>
      </c>
      <c r="K483" s="7">
        <v>606</v>
      </c>
      <c r="L483" s="7">
        <v>38</v>
      </c>
      <c r="M483" s="7" t="s">
        <v>59</v>
      </c>
      <c r="N483" s="10">
        <v>5.92601299567274E-2</v>
      </c>
      <c r="O483" s="7">
        <v>0.12</v>
      </c>
      <c r="P483" s="7">
        <v>0.35</v>
      </c>
    </row>
    <row r="484" spans="1:16" x14ac:dyDescent="0.15">
      <c r="A484" s="7">
        <v>1480</v>
      </c>
      <c r="B484" s="19">
        <v>45296</v>
      </c>
      <c r="C484" s="7">
        <v>360</v>
      </c>
      <c r="D484" s="19">
        <v>45747</v>
      </c>
      <c r="E484" s="7">
        <v>14</v>
      </c>
      <c r="F484" s="30">
        <v>341977</v>
      </c>
      <c r="G484" s="30">
        <v>313298.36117515503</v>
      </c>
      <c r="H484" s="28">
        <v>417045.12195121951</v>
      </c>
      <c r="I484" s="7">
        <v>82</v>
      </c>
      <c r="J484" s="7" t="s">
        <v>67</v>
      </c>
      <c r="K484" s="7">
        <v>772</v>
      </c>
      <c r="L484" s="7">
        <v>18</v>
      </c>
      <c r="M484" s="7" t="s">
        <v>59</v>
      </c>
      <c r="N484" s="10">
        <v>5.9915808497696281E-2</v>
      </c>
      <c r="O484" s="7">
        <v>0.12</v>
      </c>
      <c r="P484" s="7">
        <v>0.45</v>
      </c>
    </row>
    <row r="485" spans="1:16" x14ac:dyDescent="0.15">
      <c r="A485" s="7">
        <v>1481</v>
      </c>
      <c r="B485" s="19">
        <v>45424</v>
      </c>
      <c r="C485" s="7">
        <v>360</v>
      </c>
      <c r="D485" s="19">
        <v>45747</v>
      </c>
      <c r="E485" s="7">
        <v>10</v>
      </c>
      <c r="F485" s="30">
        <v>762695</v>
      </c>
      <c r="G485" s="30">
        <v>710045.11362768151</v>
      </c>
      <c r="H485" s="28">
        <v>866698.86363636365</v>
      </c>
      <c r="I485" s="7">
        <v>88</v>
      </c>
      <c r="J485" s="7" t="s">
        <v>74</v>
      </c>
      <c r="K485" s="7">
        <v>833</v>
      </c>
      <c r="L485" s="7">
        <v>6</v>
      </c>
      <c r="M485" s="7" t="s">
        <v>59</v>
      </c>
      <c r="N485" s="10">
        <v>7.369697132668708E-2</v>
      </c>
      <c r="O485" s="7">
        <v>0.12</v>
      </c>
      <c r="P485" s="7">
        <v>0.4</v>
      </c>
    </row>
    <row r="486" spans="1:16" x14ac:dyDescent="0.15">
      <c r="A486" s="7">
        <v>1482</v>
      </c>
      <c r="B486" s="19">
        <v>45319</v>
      </c>
      <c r="C486" s="7">
        <v>360</v>
      </c>
      <c r="D486" s="19">
        <v>45747</v>
      </c>
      <c r="E486" s="7">
        <v>14</v>
      </c>
      <c r="F486" s="30">
        <v>286557</v>
      </c>
      <c r="G486" s="30">
        <v>262167.38038368232</v>
      </c>
      <c r="H486" s="28">
        <v>311475</v>
      </c>
      <c r="I486" s="7">
        <v>92</v>
      </c>
      <c r="J486" s="7" t="s">
        <v>65</v>
      </c>
      <c r="K486" s="7">
        <v>716</v>
      </c>
      <c r="L486" s="7">
        <v>46</v>
      </c>
      <c r="M486" s="7" t="s">
        <v>59</v>
      </c>
      <c r="N486" s="10">
        <v>6.1302077100009261E-2</v>
      </c>
      <c r="O486" s="7">
        <v>0.25</v>
      </c>
      <c r="P486" s="7">
        <v>0.28000000000000003</v>
      </c>
    </row>
    <row r="487" spans="1:16" x14ac:dyDescent="0.15">
      <c r="A487" s="7">
        <v>1483</v>
      </c>
      <c r="B487" s="19">
        <v>45425</v>
      </c>
      <c r="C487" s="7">
        <v>360</v>
      </c>
      <c r="D487" s="19">
        <v>45747</v>
      </c>
      <c r="E487" s="7">
        <v>10</v>
      </c>
      <c r="F487" s="30">
        <v>196996</v>
      </c>
      <c r="G487" s="30">
        <v>184915.11740338278</v>
      </c>
      <c r="H487" s="28">
        <v>209570.21276595746</v>
      </c>
      <c r="I487" s="7">
        <v>94</v>
      </c>
      <c r="J487" s="7" t="s">
        <v>65</v>
      </c>
      <c r="K487" s="7">
        <v>673</v>
      </c>
      <c r="L487" s="7">
        <v>13</v>
      </c>
      <c r="M487" s="7" t="s">
        <v>59</v>
      </c>
      <c r="N487" s="10">
        <v>6.2121131470239316E-2</v>
      </c>
      <c r="O487" s="7">
        <v>0.25</v>
      </c>
      <c r="P487" s="7">
        <v>0.22</v>
      </c>
    </row>
    <row r="488" spans="1:16" x14ac:dyDescent="0.15">
      <c r="A488" s="7">
        <v>1484</v>
      </c>
      <c r="B488" s="19">
        <v>45390</v>
      </c>
      <c r="C488" s="7">
        <v>360</v>
      </c>
      <c r="D488" s="19">
        <v>45747</v>
      </c>
      <c r="E488" s="7">
        <v>11</v>
      </c>
      <c r="F488" s="30">
        <v>192720</v>
      </c>
      <c r="G488" s="30">
        <v>179170.93587046329</v>
      </c>
      <c r="H488" s="28">
        <v>240900</v>
      </c>
      <c r="I488" s="7">
        <v>80</v>
      </c>
      <c r="J488" s="7" t="s">
        <v>74</v>
      </c>
      <c r="K488" s="7">
        <v>629</v>
      </c>
      <c r="L488" s="7">
        <v>3</v>
      </c>
      <c r="M488" s="7" t="s">
        <v>59</v>
      </c>
      <c r="N488" s="10">
        <v>6.6071464669490168E-2</v>
      </c>
      <c r="O488" s="7">
        <v>0.12</v>
      </c>
      <c r="P488" s="7">
        <v>0.43</v>
      </c>
    </row>
    <row r="489" spans="1:16" x14ac:dyDescent="0.15">
      <c r="A489" s="7">
        <v>1485</v>
      </c>
      <c r="B489" s="19">
        <v>45392</v>
      </c>
      <c r="C489" s="7">
        <v>360</v>
      </c>
      <c r="D489" s="19">
        <v>45747</v>
      </c>
      <c r="E489" s="7">
        <v>11</v>
      </c>
      <c r="F489" s="30">
        <v>678668</v>
      </c>
      <c r="G489" s="30">
        <v>637298.7219869059</v>
      </c>
      <c r="H489" s="28">
        <v>729750.53763440857</v>
      </c>
      <c r="I489" s="7">
        <v>93</v>
      </c>
      <c r="J489" s="7" t="s">
        <v>65</v>
      </c>
      <c r="K489" s="7">
        <v>681</v>
      </c>
      <c r="L489" s="7">
        <v>49</v>
      </c>
      <c r="M489" s="7" t="s">
        <v>59</v>
      </c>
      <c r="N489" s="10">
        <v>5.2814087975738208E-2</v>
      </c>
      <c r="O489" s="7">
        <v>0.25</v>
      </c>
      <c r="P489" s="7">
        <v>0.35</v>
      </c>
    </row>
    <row r="490" spans="1:16" x14ac:dyDescent="0.15">
      <c r="A490" s="7">
        <v>1486</v>
      </c>
      <c r="B490" s="19">
        <v>45308</v>
      </c>
      <c r="C490" s="7">
        <v>360</v>
      </c>
      <c r="D490" s="19">
        <v>45747</v>
      </c>
      <c r="E490" s="7">
        <v>14</v>
      </c>
      <c r="F490" s="30">
        <v>510049</v>
      </c>
      <c r="G490" s="30">
        <v>459569.37117788859</v>
      </c>
      <c r="H490" s="28">
        <v>614516.86746987957</v>
      </c>
      <c r="I490" s="7">
        <v>83</v>
      </c>
      <c r="J490" s="7" t="s">
        <v>72</v>
      </c>
      <c r="K490" s="7">
        <v>694</v>
      </c>
      <c r="L490" s="7">
        <v>27</v>
      </c>
      <c r="M490" s="7" t="s">
        <v>59</v>
      </c>
      <c r="N490" s="10">
        <v>7.6124365358499674E-2</v>
      </c>
      <c r="O490" s="7">
        <v>0.12</v>
      </c>
      <c r="P490" s="7">
        <v>0.3</v>
      </c>
    </row>
    <row r="491" spans="1:16" x14ac:dyDescent="0.15">
      <c r="A491" s="7">
        <v>1487</v>
      </c>
      <c r="B491" s="19">
        <v>45353</v>
      </c>
      <c r="C491" s="7">
        <v>360</v>
      </c>
      <c r="D491" s="19">
        <v>45747</v>
      </c>
      <c r="E491" s="7">
        <v>12</v>
      </c>
      <c r="F491" s="30">
        <v>417473</v>
      </c>
      <c r="G491" s="30">
        <v>390300.57602910016</v>
      </c>
      <c r="H491" s="28">
        <v>469070.7865168539</v>
      </c>
      <c r="I491" s="7">
        <v>89</v>
      </c>
      <c r="J491" s="7" t="s">
        <v>74</v>
      </c>
      <c r="K491" s="7">
        <v>701</v>
      </c>
      <c r="L491" s="7">
        <v>16</v>
      </c>
      <c r="M491" s="7" t="s">
        <v>59</v>
      </c>
      <c r="N491" s="10">
        <v>5.0910316406816099E-2</v>
      </c>
      <c r="O491" s="7">
        <v>0.12</v>
      </c>
      <c r="P491" s="7">
        <v>0.26</v>
      </c>
    </row>
    <row r="492" spans="1:16" x14ac:dyDescent="0.15">
      <c r="A492" s="7">
        <v>1488</v>
      </c>
      <c r="B492" s="19">
        <v>45417</v>
      </c>
      <c r="C492" s="7">
        <v>360</v>
      </c>
      <c r="D492" s="19">
        <v>45747</v>
      </c>
      <c r="E492" s="7">
        <v>10</v>
      </c>
      <c r="F492" s="30">
        <v>498435</v>
      </c>
      <c r="G492" s="30">
        <v>463628.66582988214</v>
      </c>
      <c r="H492" s="28">
        <v>579575.58139534888</v>
      </c>
      <c r="I492" s="7">
        <v>86</v>
      </c>
      <c r="J492" s="7" t="s">
        <v>63</v>
      </c>
      <c r="K492" s="7">
        <v>609</v>
      </c>
      <c r="L492" s="7">
        <v>42</v>
      </c>
      <c r="M492" s="7" t="s">
        <v>59</v>
      </c>
      <c r="N492" s="10">
        <v>7.4868225456920609E-2</v>
      </c>
      <c r="O492" s="7">
        <v>0.12</v>
      </c>
      <c r="P492" s="7">
        <v>0.33</v>
      </c>
    </row>
    <row r="493" spans="1:16" x14ac:dyDescent="0.15">
      <c r="A493" s="7">
        <v>1489</v>
      </c>
      <c r="B493" s="19">
        <v>45365</v>
      </c>
      <c r="C493" s="7">
        <v>360</v>
      </c>
      <c r="D493" s="19">
        <v>45747</v>
      </c>
      <c r="E493" s="7">
        <v>12</v>
      </c>
      <c r="F493" s="30">
        <v>575467</v>
      </c>
      <c r="G493" s="30">
        <v>537755.95254320092</v>
      </c>
      <c r="H493" s="28">
        <v>661456.32183908042</v>
      </c>
      <c r="I493" s="7">
        <v>87</v>
      </c>
      <c r="J493" s="7" t="s">
        <v>65</v>
      </c>
      <c r="K493" s="7">
        <v>736</v>
      </c>
      <c r="L493" s="7">
        <v>20</v>
      </c>
      <c r="M493" s="7" t="s">
        <v>59</v>
      </c>
      <c r="N493" s="10">
        <v>5.1510902090209372E-2</v>
      </c>
      <c r="O493" s="7">
        <v>0.12</v>
      </c>
      <c r="P493" s="7">
        <v>0.4</v>
      </c>
    </row>
    <row r="494" spans="1:16" x14ac:dyDescent="0.15">
      <c r="A494" s="7">
        <v>1490</v>
      </c>
      <c r="B494" s="19">
        <v>45405</v>
      </c>
      <c r="C494" s="7">
        <v>360</v>
      </c>
      <c r="D494" s="19">
        <v>45747</v>
      </c>
      <c r="E494" s="7">
        <v>11</v>
      </c>
      <c r="F494" s="30">
        <v>389578</v>
      </c>
      <c r="G494" s="30">
        <v>361146.66617073037</v>
      </c>
      <c r="H494" s="28">
        <v>480960.49382716045</v>
      </c>
      <c r="I494" s="7">
        <v>81</v>
      </c>
      <c r="J494" s="7" t="s">
        <v>64</v>
      </c>
      <c r="K494" s="7">
        <v>739</v>
      </c>
      <c r="L494" s="7">
        <v>30</v>
      </c>
      <c r="M494" s="7" t="s">
        <v>59</v>
      </c>
      <c r="N494" s="10">
        <v>6.9724450555803577E-2</v>
      </c>
      <c r="O494" s="7">
        <v>0.12</v>
      </c>
      <c r="P494" s="7">
        <v>0.44</v>
      </c>
    </row>
    <row r="495" spans="1:16" x14ac:dyDescent="0.15">
      <c r="A495" s="7">
        <v>1491</v>
      </c>
      <c r="B495" s="19">
        <v>45384</v>
      </c>
      <c r="C495" s="7">
        <v>360</v>
      </c>
      <c r="D495" s="19">
        <v>45747</v>
      </c>
      <c r="E495" s="7">
        <v>11</v>
      </c>
      <c r="F495" s="30">
        <v>340993</v>
      </c>
      <c r="G495" s="30">
        <v>315799.8515642666</v>
      </c>
      <c r="H495" s="28">
        <v>362758.51063829788</v>
      </c>
      <c r="I495" s="7">
        <v>94</v>
      </c>
      <c r="J495" s="7" t="s">
        <v>65</v>
      </c>
      <c r="K495" s="7">
        <v>627</v>
      </c>
      <c r="L495" s="7">
        <v>42</v>
      </c>
      <c r="M495" s="7" t="s">
        <v>59</v>
      </c>
      <c r="N495" s="10">
        <v>7.0943640581442036E-2</v>
      </c>
      <c r="O495" s="7">
        <v>0.25</v>
      </c>
      <c r="P495" s="7">
        <v>0.33</v>
      </c>
    </row>
    <row r="496" spans="1:16" x14ac:dyDescent="0.15">
      <c r="A496" s="7">
        <v>1492</v>
      </c>
      <c r="B496" s="19">
        <v>45399</v>
      </c>
      <c r="C496" s="7">
        <v>360</v>
      </c>
      <c r="D496" s="19">
        <v>45747</v>
      </c>
      <c r="E496" s="7">
        <v>11</v>
      </c>
      <c r="F496" s="30">
        <v>163767</v>
      </c>
      <c r="G496" s="30">
        <v>151375.77681084312</v>
      </c>
      <c r="H496" s="28">
        <v>202181.48148148146</v>
      </c>
      <c r="I496" s="7">
        <v>81</v>
      </c>
      <c r="J496" s="7" t="s">
        <v>74</v>
      </c>
      <c r="K496" s="7">
        <v>726</v>
      </c>
      <c r="L496" s="7">
        <v>18</v>
      </c>
      <c r="M496" s="7" t="s">
        <v>59</v>
      </c>
      <c r="N496" s="10">
        <v>7.3335462926262071E-2</v>
      </c>
      <c r="O496" s="7">
        <v>0.12</v>
      </c>
      <c r="P496" s="7">
        <v>0.4</v>
      </c>
    </row>
    <row r="497" spans="1:16" x14ac:dyDescent="0.15">
      <c r="A497" s="7">
        <v>1493</v>
      </c>
      <c r="B497" s="19">
        <v>45328</v>
      </c>
      <c r="C497" s="7">
        <v>360</v>
      </c>
      <c r="D497" s="19">
        <v>45747</v>
      </c>
      <c r="E497" s="7">
        <v>13</v>
      </c>
      <c r="F497" s="30">
        <v>450444</v>
      </c>
      <c r="G497" s="30">
        <v>416114.49286345812</v>
      </c>
      <c r="H497" s="28">
        <v>536242.85714285716</v>
      </c>
      <c r="I497" s="7">
        <v>84</v>
      </c>
      <c r="J497" s="7" t="s">
        <v>74</v>
      </c>
      <c r="K497" s="7">
        <v>676</v>
      </c>
      <c r="L497" s="7">
        <v>27</v>
      </c>
      <c r="M497" s="7" t="s">
        <v>59</v>
      </c>
      <c r="N497" s="10">
        <v>5.7921108788556726E-2</v>
      </c>
      <c r="O497" s="7">
        <v>0.12</v>
      </c>
      <c r="P497" s="7">
        <v>0.24</v>
      </c>
    </row>
    <row r="498" spans="1:16" x14ac:dyDescent="0.15">
      <c r="A498" s="7">
        <v>1494</v>
      </c>
      <c r="B498" s="19">
        <v>45294</v>
      </c>
      <c r="C498" s="7">
        <v>360</v>
      </c>
      <c r="D498" s="19">
        <v>45747</v>
      </c>
      <c r="E498" s="7">
        <v>14</v>
      </c>
      <c r="F498" s="30">
        <v>412289</v>
      </c>
      <c r="G498" s="30">
        <v>374166.80438159045</v>
      </c>
      <c r="H498" s="28">
        <v>479405.81395348837</v>
      </c>
      <c r="I498" s="7">
        <v>86</v>
      </c>
      <c r="J498" s="7" t="s">
        <v>69</v>
      </c>
      <c r="K498" s="7">
        <v>821</v>
      </c>
      <c r="L498" s="7">
        <v>35</v>
      </c>
      <c r="M498" s="7" t="s">
        <v>59</v>
      </c>
      <c r="N498" s="10">
        <v>6.927826652241445E-2</v>
      </c>
      <c r="O498" s="7">
        <v>0.12</v>
      </c>
      <c r="P498" s="7">
        <v>0.35</v>
      </c>
    </row>
    <row r="499" spans="1:16" x14ac:dyDescent="0.15">
      <c r="A499" s="7">
        <v>1495</v>
      </c>
      <c r="B499" s="19">
        <v>45461</v>
      </c>
      <c r="C499" s="7">
        <v>360</v>
      </c>
      <c r="D499" s="19">
        <v>45747</v>
      </c>
      <c r="E499" s="7">
        <v>9</v>
      </c>
      <c r="F499" s="30">
        <v>586997</v>
      </c>
      <c r="G499" s="30">
        <v>553965.34925815044</v>
      </c>
      <c r="H499" s="28">
        <v>667042.04545454541</v>
      </c>
      <c r="I499" s="7">
        <v>88</v>
      </c>
      <c r="J499" s="7" t="s">
        <v>70</v>
      </c>
      <c r="K499" s="7">
        <v>683</v>
      </c>
      <c r="L499" s="7">
        <v>25</v>
      </c>
      <c r="M499" s="7" t="s">
        <v>59</v>
      </c>
      <c r="N499" s="10">
        <v>6.3960513749589568E-2</v>
      </c>
      <c r="O499" s="7">
        <v>0.12</v>
      </c>
      <c r="P499" s="7">
        <v>0.42</v>
      </c>
    </row>
    <row r="500" spans="1:16" x14ac:dyDescent="0.15">
      <c r="A500" s="7">
        <v>1496</v>
      </c>
      <c r="B500" s="19">
        <v>45349</v>
      </c>
      <c r="C500" s="7">
        <v>360</v>
      </c>
      <c r="D500" s="19">
        <v>45747</v>
      </c>
      <c r="E500" s="7">
        <v>13</v>
      </c>
      <c r="F500" s="30">
        <v>727460</v>
      </c>
      <c r="G500" s="30">
        <v>665576.35050623177</v>
      </c>
      <c r="H500" s="28">
        <v>845883.72093023255</v>
      </c>
      <c r="I500" s="7">
        <v>86</v>
      </c>
      <c r="J500" s="7" t="s">
        <v>74</v>
      </c>
      <c r="K500" s="7">
        <v>710</v>
      </c>
      <c r="L500" s="7">
        <v>13</v>
      </c>
      <c r="M500" s="7" t="s">
        <v>59</v>
      </c>
      <c r="N500" s="10">
        <v>6.8366761981463992E-2</v>
      </c>
      <c r="O500" s="7">
        <v>0.12</v>
      </c>
      <c r="P500" s="7">
        <v>0.35</v>
      </c>
    </row>
    <row r="501" spans="1:16" x14ac:dyDescent="0.15">
      <c r="A501" s="7">
        <v>1497</v>
      </c>
      <c r="B501" s="19">
        <v>45371</v>
      </c>
      <c r="C501" s="7">
        <v>360</v>
      </c>
      <c r="D501" s="19">
        <v>45747</v>
      </c>
      <c r="E501" s="7">
        <v>12</v>
      </c>
      <c r="F501" s="30">
        <v>142234</v>
      </c>
      <c r="G501" s="30">
        <v>131698.17400782782</v>
      </c>
      <c r="H501" s="28">
        <v>152939.78494623656</v>
      </c>
      <c r="I501" s="7">
        <v>93</v>
      </c>
      <c r="J501" s="7" t="s">
        <v>68</v>
      </c>
      <c r="K501" s="7">
        <v>821</v>
      </c>
      <c r="L501" s="7">
        <v>16</v>
      </c>
      <c r="M501" s="7" t="s">
        <v>59</v>
      </c>
      <c r="N501" s="10">
        <v>6.2740532836065996E-2</v>
      </c>
      <c r="O501" s="7">
        <v>0.25</v>
      </c>
      <c r="P501" s="7">
        <v>0.2</v>
      </c>
    </row>
    <row r="502" spans="1:16" x14ac:dyDescent="0.15">
      <c r="A502" s="7">
        <v>1498</v>
      </c>
      <c r="B502" s="19">
        <v>45388</v>
      </c>
      <c r="C502" s="7">
        <v>360</v>
      </c>
      <c r="D502" s="19">
        <v>45747</v>
      </c>
      <c r="E502" s="7">
        <v>11</v>
      </c>
      <c r="F502" s="30">
        <v>690362</v>
      </c>
      <c r="G502" s="30">
        <v>638033.00609334302</v>
      </c>
      <c r="H502" s="28">
        <v>734427.65957446815</v>
      </c>
      <c r="I502" s="7">
        <v>94</v>
      </c>
      <c r="J502" s="7" t="s">
        <v>63</v>
      </c>
      <c r="K502" s="7">
        <v>835</v>
      </c>
      <c r="L502" s="7">
        <v>23</v>
      </c>
      <c r="M502" s="7" t="s">
        <v>59</v>
      </c>
      <c r="N502" s="10">
        <v>7.3516584450403405E-2</v>
      </c>
      <c r="O502" s="7">
        <v>0.25</v>
      </c>
      <c r="P502" s="7">
        <v>0.36</v>
      </c>
    </row>
    <row r="503" spans="1:16" x14ac:dyDescent="0.15">
      <c r="A503" s="7">
        <v>1499</v>
      </c>
      <c r="B503" s="19">
        <v>45407</v>
      </c>
      <c r="C503" s="7">
        <v>360</v>
      </c>
      <c r="D503" s="19">
        <v>45747</v>
      </c>
      <c r="E503" s="7">
        <v>11</v>
      </c>
      <c r="F503" s="30">
        <v>503929</v>
      </c>
      <c r="G503" s="30">
        <v>465881.72416304989</v>
      </c>
      <c r="H503" s="28">
        <v>614547.56097560981</v>
      </c>
      <c r="I503" s="7">
        <v>82</v>
      </c>
      <c r="J503" s="7" t="s">
        <v>69</v>
      </c>
      <c r="K503" s="7">
        <v>654</v>
      </c>
      <c r="L503" s="7">
        <v>45</v>
      </c>
      <c r="M503" s="7" t="s">
        <v>59</v>
      </c>
      <c r="N503" s="10">
        <v>7.3118308210474256E-2</v>
      </c>
      <c r="O503" s="7">
        <v>0.12</v>
      </c>
      <c r="P503" s="7">
        <v>0.34</v>
      </c>
    </row>
    <row r="504" spans="1:16" x14ac:dyDescent="0.15">
      <c r="A504" s="7">
        <v>1500</v>
      </c>
      <c r="B504" s="19">
        <v>45392</v>
      </c>
      <c r="C504" s="7">
        <v>360</v>
      </c>
      <c r="D504" s="19">
        <v>45747</v>
      </c>
      <c r="E504" s="7">
        <v>11</v>
      </c>
      <c r="F504" s="30">
        <v>629339</v>
      </c>
      <c r="G504" s="30">
        <v>580189.03749196522</v>
      </c>
      <c r="H504" s="28">
        <v>749213.09523809527</v>
      </c>
      <c r="I504" s="7">
        <v>84</v>
      </c>
      <c r="J504" s="7" t="s">
        <v>68</v>
      </c>
      <c r="K504" s="7">
        <v>778</v>
      </c>
      <c r="L504" s="7">
        <v>32</v>
      </c>
      <c r="M504" s="7" t="s">
        <v>59</v>
      </c>
      <c r="N504" s="10">
        <v>7.6567562946337583E-2</v>
      </c>
      <c r="O504" s="7">
        <v>0.12</v>
      </c>
      <c r="P504" s="7">
        <v>0.43</v>
      </c>
    </row>
    <row r="513" spans="3:3" x14ac:dyDescent="0.15">
      <c r="C513" s="17"/>
    </row>
    <row r="514" spans="3:3" x14ac:dyDescent="0.15">
      <c r="C514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57417-AA78-4476-B1CA-3140810E555E}">
  <dimension ref="A2:Y514"/>
  <sheetViews>
    <sheetView showGridLines="0" zoomScale="80" zoomScaleNormal="80" workbookViewId="0"/>
  </sheetViews>
  <sheetFormatPr baseColWidth="10" defaultColWidth="8.6640625" defaultRowHeight="13" x14ac:dyDescent="0.15"/>
  <cols>
    <col min="1" max="1" width="7.6640625" style="1" bestFit="1" customWidth="1"/>
    <col min="2" max="2" width="22.33203125" style="1" bestFit="1" customWidth="1"/>
    <col min="3" max="3" width="11.33203125" style="1" customWidth="1"/>
    <col min="4" max="4" width="19.1640625" style="1" bestFit="1" customWidth="1"/>
    <col min="5" max="5" width="11.33203125" style="1" customWidth="1"/>
    <col min="6" max="6" width="20.1640625" style="1" bestFit="1" customWidth="1"/>
    <col min="7" max="7" width="20" style="1" bestFit="1" customWidth="1"/>
    <col min="8" max="8" width="20.83203125" style="1" bestFit="1" customWidth="1"/>
    <col min="9" max="9" width="11.6640625" style="1" bestFit="1" customWidth="1"/>
    <col min="10" max="10" width="15.6640625" style="1" bestFit="1" customWidth="1"/>
    <col min="11" max="12" width="10.5" style="1" customWidth="1"/>
    <col min="13" max="13" width="11.5" style="1" bestFit="1" customWidth="1"/>
    <col min="14" max="14" width="12.83203125" style="1" bestFit="1" customWidth="1"/>
    <col min="15" max="15" width="11.83203125" style="1" bestFit="1" customWidth="1"/>
    <col min="16" max="16" width="13.1640625" style="1" bestFit="1" customWidth="1"/>
    <col min="17" max="17" width="8.6640625" style="1"/>
    <col min="18" max="18" width="15.33203125" style="1" customWidth="1"/>
    <col min="19" max="20" width="15.5" style="1" bestFit="1" customWidth="1"/>
    <col min="21" max="21" width="11.5" style="1" bestFit="1" customWidth="1"/>
    <col min="22" max="23" width="21.83203125" style="1" bestFit="1" customWidth="1"/>
    <col min="24" max="24" width="20.33203125" style="1" customWidth="1"/>
    <col min="25" max="25" width="15.83203125" style="1" customWidth="1"/>
    <col min="26" max="16384" width="8.6640625" style="1"/>
  </cols>
  <sheetData>
    <row r="2" spans="1:25" s="11" customFormat="1" x14ac:dyDescent="0.15">
      <c r="B2" s="12" t="s">
        <v>87</v>
      </c>
    </row>
    <row r="4" spans="1:25" x14ac:dyDescent="0.15">
      <c r="A4" s="18" t="s">
        <v>0</v>
      </c>
      <c r="B4" s="18" t="s">
        <v>1</v>
      </c>
      <c r="C4" s="18" t="s">
        <v>2</v>
      </c>
      <c r="D4" s="18" t="s">
        <v>58</v>
      </c>
      <c r="E4" s="18" t="s">
        <v>3</v>
      </c>
      <c r="F4" s="18" t="s">
        <v>4</v>
      </c>
      <c r="G4" s="18" t="s">
        <v>5</v>
      </c>
      <c r="H4" s="18" t="s">
        <v>24</v>
      </c>
      <c r="I4" s="18" t="s">
        <v>6</v>
      </c>
      <c r="J4" s="18" t="s">
        <v>7</v>
      </c>
      <c r="K4" s="18" t="s">
        <v>8</v>
      </c>
      <c r="L4" s="18" t="s">
        <v>9</v>
      </c>
      <c r="M4" s="18" t="s">
        <v>10</v>
      </c>
      <c r="N4" s="18" t="s">
        <v>11</v>
      </c>
      <c r="O4" s="18" t="s">
        <v>12</v>
      </c>
      <c r="P4" s="18" t="s">
        <v>13</v>
      </c>
      <c r="R4" s="18" t="s">
        <v>76</v>
      </c>
      <c r="S4" s="18" t="s">
        <v>77</v>
      </c>
      <c r="T4" s="18" t="s">
        <v>78</v>
      </c>
      <c r="U4" s="18" t="s">
        <v>79</v>
      </c>
      <c r="V4" s="18" t="s">
        <v>83</v>
      </c>
      <c r="W4" s="18" t="s">
        <v>84</v>
      </c>
      <c r="X4" s="18" t="s">
        <v>85</v>
      </c>
      <c r="Y4" s="18" t="s">
        <v>86</v>
      </c>
    </row>
    <row r="5" spans="1:25" x14ac:dyDescent="0.15">
      <c r="A5" s="7">
        <v>1001</v>
      </c>
      <c r="B5" s="19">
        <v>45384</v>
      </c>
      <c r="C5" s="7">
        <v>360</v>
      </c>
      <c r="D5" s="19">
        <v>45747</v>
      </c>
      <c r="E5" s="7">
        <v>11</v>
      </c>
      <c r="F5" s="29">
        <v>112728</v>
      </c>
      <c r="G5" s="29">
        <v>105868.35138830231</v>
      </c>
      <c r="H5" s="29">
        <v>125253.33333333333</v>
      </c>
      <c r="I5" s="7">
        <v>90</v>
      </c>
      <c r="J5" s="7" t="s">
        <v>73</v>
      </c>
      <c r="K5" s="7">
        <v>752</v>
      </c>
      <c r="L5" s="7">
        <v>33</v>
      </c>
      <c r="M5" s="7" t="s">
        <v>59</v>
      </c>
      <c r="N5" s="10">
        <v>5.265980257133572E-2</v>
      </c>
      <c r="O5" s="7">
        <v>0.25</v>
      </c>
      <c r="P5" s="7">
        <v>0.34</v>
      </c>
      <c r="R5" s="30">
        <f>P5*F5/100</f>
        <v>383.27520000000004</v>
      </c>
      <c r="S5" s="7" t="str">
        <f>_xlfn.IFS(I5&lt;80,"&lt; 80",AND(I5&gt;=80,I5&lt;=85),"80-85",AND(I5&gt;85,I5&lt;=90),"85-90",AND(I5&gt;90,I5&lt;=95),"90-95",I5&gt;95,"&gt; 95")</f>
        <v>85-90</v>
      </c>
      <c r="T5" s="7" t="str">
        <f t="shared" ref="T5:T68" si="0">_xlfn.IFS(K5&lt;650,"&lt; 650",AND(K5&gt;=650,K5&lt;=700),"650-700",AND(K5&gt;700,K5&lt;=750),"700-750",AND(K5&gt;750,K5&lt;=800),"750-800",K5&gt;800,"&gt; 800")</f>
        <v>750-800</v>
      </c>
      <c r="U5" s="31">
        <f t="shared" ref="U5:U68" si="1">INDEX(LTV_FICO_DefaultRates,MATCH(S5,LTV_DefaultTable,0),MATCH(T5,FICO_DefaultTabe,0))</f>
        <v>0.02</v>
      </c>
      <c r="V5" s="30">
        <f t="shared" ref="V5:V68" si="2">((G5*(1+Expense_Loading))*O5)</f>
        <v>27790.442239429358</v>
      </c>
      <c r="W5" s="30">
        <f t="shared" ref="W5:W68" si="3">(G5*(1+Expense_Loading))-(H5*(1+HPI_Movement))</f>
        <v>4696.435624384103</v>
      </c>
      <c r="X5" s="30">
        <f>MAX(MIN(V5,W5),0)</f>
        <v>4696.435624384103</v>
      </c>
      <c r="Y5" s="30">
        <f>X5*U5</f>
        <v>93.928712487682063</v>
      </c>
    </row>
    <row r="6" spans="1:25" x14ac:dyDescent="0.15">
      <c r="A6" s="7">
        <v>1002</v>
      </c>
      <c r="B6" s="19">
        <v>45346</v>
      </c>
      <c r="C6" s="7">
        <v>360</v>
      </c>
      <c r="D6" s="19">
        <v>45747</v>
      </c>
      <c r="E6" s="7">
        <v>13</v>
      </c>
      <c r="F6" s="29">
        <v>633688</v>
      </c>
      <c r="G6" s="29">
        <v>588245.82276764896</v>
      </c>
      <c r="H6" s="29">
        <v>667040</v>
      </c>
      <c r="I6" s="7">
        <v>95</v>
      </c>
      <c r="J6" s="7" t="s">
        <v>63</v>
      </c>
      <c r="K6" s="7">
        <v>662</v>
      </c>
      <c r="L6" s="7">
        <v>16</v>
      </c>
      <c r="M6" s="7" t="s">
        <v>59</v>
      </c>
      <c r="N6" s="10">
        <v>5.240579655835461E-2</v>
      </c>
      <c r="O6" s="7">
        <v>0.3</v>
      </c>
      <c r="P6" s="7">
        <v>0.38</v>
      </c>
      <c r="R6" s="30">
        <f t="shared" ref="R6:R69" si="4">P6*F6/100</f>
        <v>2408.0144</v>
      </c>
      <c r="S6" s="7" t="str">
        <f t="shared" ref="S6:S68" si="5">_xlfn.IFS(I6&lt;80,"&lt; 80",AND(I6&gt;=80,I6&lt;=85),"80-85",AND(I6&gt;85,I6&lt;=90),"85-90",AND(I6&gt;90,I6&lt;=95),"90-95",I6&gt;95,"&gt; 95")</f>
        <v>90-95</v>
      </c>
      <c r="T6" s="7" t="str">
        <f t="shared" si="0"/>
        <v>650-700</v>
      </c>
      <c r="U6" s="31">
        <f t="shared" si="1"/>
        <v>7.0000000000000007E-2</v>
      </c>
      <c r="V6" s="30">
        <f t="shared" si="2"/>
        <v>185297.43417180944</v>
      </c>
      <c r="W6" s="30">
        <f t="shared" si="3"/>
        <v>50674.113906031474</v>
      </c>
      <c r="X6" s="30">
        <f t="shared" ref="X6:X69" si="6">MAX(MIN(V6,W6),0)</f>
        <v>50674.113906031474</v>
      </c>
      <c r="Y6" s="30">
        <f t="shared" ref="Y6:Y69" si="7">X6*U6</f>
        <v>3547.1879734222034</v>
      </c>
    </row>
    <row r="7" spans="1:25" x14ac:dyDescent="0.15">
      <c r="A7" s="7">
        <v>1003</v>
      </c>
      <c r="B7" s="19">
        <v>45293</v>
      </c>
      <c r="C7" s="7">
        <v>360</v>
      </c>
      <c r="D7" s="19">
        <v>45747</v>
      </c>
      <c r="E7" s="7">
        <v>14</v>
      </c>
      <c r="F7" s="29">
        <v>413794</v>
      </c>
      <c r="G7" s="29">
        <v>372485.21648156084</v>
      </c>
      <c r="H7" s="29">
        <v>440206.38297872344</v>
      </c>
      <c r="I7" s="7">
        <v>94</v>
      </c>
      <c r="J7" s="7" t="s">
        <v>67</v>
      </c>
      <c r="K7" s="7">
        <v>751</v>
      </c>
      <c r="L7" s="7">
        <v>14</v>
      </c>
      <c r="M7" s="7" t="s">
        <v>59</v>
      </c>
      <c r="N7" s="10">
        <v>7.701544884898992E-2</v>
      </c>
      <c r="O7" s="7">
        <v>0.25</v>
      </c>
      <c r="P7" s="7">
        <v>0.25</v>
      </c>
      <c r="R7" s="30">
        <f t="shared" si="4"/>
        <v>1034.4849999999999</v>
      </c>
      <c r="S7" s="7" t="str">
        <f t="shared" si="5"/>
        <v>90-95</v>
      </c>
      <c r="T7" s="7" t="str">
        <f t="shared" si="0"/>
        <v>750-800</v>
      </c>
      <c r="U7" s="31">
        <f t="shared" si="1"/>
        <v>0.05</v>
      </c>
      <c r="V7" s="30">
        <f t="shared" si="2"/>
        <v>97777.369326409724</v>
      </c>
      <c r="W7" s="30">
        <f t="shared" si="3"/>
        <v>16934.051773723972</v>
      </c>
      <c r="X7" s="30">
        <f t="shared" si="6"/>
        <v>16934.051773723972</v>
      </c>
      <c r="Y7" s="30">
        <f t="shared" si="7"/>
        <v>846.70258868619862</v>
      </c>
    </row>
    <row r="8" spans="1:25" x14ac:dyDescent="0.15">
      <c r="A8" s="7">
        <v>1004</v>
      </c>
      <c r="B8" s="19">
        <v>45451</v>
      </c>
      <c r="C8" s="7">
        <v>360</v>
      </c>
      <c r="D8" s="19">
        <v>45747</v>
      </c>
      <c r="E8" s="7">
        <v>9</v>
      </c>
      <c r="F8" s="29">
        <v>418961</v>
      </c>
      <c r="G8" s="29">
        <v>397283.41862113774</v>
      </c>
      <c r="H8" s="29">
        <v>470742.69662921346</v>
      </c>
      <c r="I8" s="7">
        <v>89</v>
      </c>
      <c r="J8" s="7" t="s">
        <v>60</v>
      </c>
      <c r="K8" s="7">
        <v>831</v>
      </c>
      <c r="L8" s="7">
        <v>27</v>
      </c>
      <c r="M8" s="7" t="s">
        <v>59</v>
      </c>
      <c r="N8" s="10">
        <v>5.6130664695896684E-2</v>
      </c>
      <c r="O8" s="7">
        <v>0.12</v>
      </c>
      <c r="P8" s="7">
        <v>0.36</v>
      </c>
      <c r="R8" s="30">
        <f t="shared" si="4"/>
        <v>1508.2595999999999</v>
      </c>
      <c r="S8" s="7" t="str">
        <f t="shared" si="5"/>
        <v>85-90</v>
      </c>
      <c r="T8" s="7" t="str">
        <f t="shared" si="0"/>
        <v>&gt; 800</v>
      </c>
      <c r="U8" s="31">
        <f t="shared" si="1"/>
        <v>0.01</v>
      </c>
      <c r="V8" s="30">
        <f t="shared" si="2"/>
        <v>50057.710746263358</v>
      </c>
      <c r="W8" s="30">
        <f t="shared" si="3"/>
        <v>17016.29741736321</v>
      </c>
      <c r="X8" s="30">
        <f t="shared" si="6"/>
        <v>17016.29741736321</v>
      </c>
      <c r="Y8" s="30">
        <f t="shared" si="7"/>
        <v>170.16297417363211</v>
      </c>
    </row>
    <row r="9" spans="1:25" x14ac:dyDescent="0.15">
      <c r="A9" s="7">
        <v>1005</v>
      </c>
      <c r="B9" s="19">
        <v>45388</v>
      </c>
      <c r="C9" s="7">
        <v>360</v>
      </c>
      <c r="D9" s="19">
        <v>45747</v>
      </c>
      <c r="E9" s="7">
        <v>11</v>
      </c>
      <c r="F9" s="29">
        <v>566194</v>
      </c>
      <c r="G9" s="29">
        <v>525198.66598467366</v>
      </c>
      <c r="H9" s="29">
        <v>583705.15463917528</v>
      </c>
      <c r="I9" s="7">
        <v>97</v>
      </c>
      <c r="J9" s="7" t="s">
        <v>65</v>
      </c>
      <c r="K9" s="7">
        <v>702</v>
      </c>
      <c r="L9" s="7">
        <v>43</v>
      </c>
      <c r="M9" s="7" t="s">
        <v>59</v>
      </c>
      <c r="N9" s="10">
        <v>6.8944386865701937E-2</v>
      </c>
      <c r="O9" s="7">
        <v>0.35</v>
      </c>
      <c r="P9" s="7">
        <v>0.2</v>
      </c>
      <c r="R9" s="30">
        <f t="shared" si="4"/>
        <v>1132.3879999999999</v>
      </c>
      <c r="S9" s="7" t="str">
        <f t="shared" si="5"/>
        <v>&gt; 95</v>
      </c>
      <c r="T9" s="7" t="str">
        <f t="shared" si="0"/>
        <v>700-750</v>
      </c>
      <c r="U9" s="31">
        <f t="shared" si="1"/>
        <v>7.0000000000000007E-2</v>
      </c>
      <c r="V9" s="30">
        <f t="shared" si="2"/>
        <v>193010.50974936754</v>
      </c>
      <c r="W9" s="30">
        <f t="shared" si="3"/>
        <v>55309.217840608384</v>
      </c>
      <c r="X9" s="30">
        <f t="shared" si="6"/>
        <v>55309.217840608384</v>
      </c>
      <c r="Y9" s="30">
        <f t="shared" si="7"/>
        <v>3871.6452488425871</v>
      </c>
    </row>
    <row r="10" spans="1:25" x14ac:dyDescent="0.15">
      <c r="A10" s="7">
        <v>1006</v>
      </c>
      <c r="B10" s="19">
        <v>45351</v>
      </c>
      <c r="C10" s="7">
        <v>360</v>
      </c>
      <c r="D10" s="19">
        <v>45747</v>
      </c>
      <c r="E10" s="7">
        <v>13</v>
      </c>
      <c r="F10" s="29">
        <v>744166</v>
      </c>
      <c r="G10" s="29">
        <v>678022.38415821793</v>
      </c>
      <c r="H10" s="29">
        <v>865309.30232558143</v>
      </c>
      <c r="I10" s="7">
        <v>86</v>
      </c>
      <c r="J10" s="7" t="s">
        <v>65</v>
      </c>
      <c r="K10" s="7">
        <v>609</v>
      </c>
      <c r="L10" s="7">
        <v>7</v>
      </c>
      <c r="M10" s="7" t="s">
        <v>59</v>
      </c>
      <c r="N10" s="10">
        <v>7.2726677284583943E-2</v>
      </c>
      <c r="O10" s="7">
        <v>0.12</v>
      </c>
      <c r="P10" s="7">
        <v>0.31</v>
      </c>
      <c r="R10" s="30">
        <f t="shared" si="4"/>
        <v>2306.9146000000001</v>
      </c>
      <c r="S10" s="7" t="str">
        <f t="shared" si="5"/>
        <v>85-90</v>
      </c>
      <c r="T10" s="7" t="str">
        <f t="shared" si="0"/>
        <v>&lt; 650</v>
      </c>
      <c r="U10" s="31">
        <f t="shared" si="1"/>
        <v>0.05</v>
      </c>
      <c r="V10" s="30">
        <f t="shared" si="2"/>
        <v>85430.82040393546</v>
      </c>
      <c r="W10" s="30">
        <f t="shared" si="3"/>
        <v>-23589.403610615293</v>
      </c>
      <c r="X10" s="30">
        <f t="shared" si="6"/>
        <v>0</v>
      </c>
      <c r="Y10" s="30">
        <f t="shared" si="7"/>
        <v>0</v>
      </c>
    </row>
    <row r="11" spans="1:25" x14ac:dyDescent="0.15">
      <c r="A11" s="7">
        <v>1007</v>
      </c>
      <c r="B11" s="19">
        <v>45321</v>
      </c>
      <c r="C11" s="7">
        <v>360</v>
      </c>
      <c r="D11" s="19">
        <v>45747</v>
      </c>
      <c r="E11" s="7">
        <v>14</v>
      </c>
      <c r="F11" s="29">
        <v>690899</v>
      </c>
      <c r="G11" s="29">
        <v>628494.69217368844</v>
      </c>
      <c r="H11" s="29">
        <v>712267.01030927838</v>
      </c>
      <c r="I11" s="7">
        <v>97</v>
      </c>
      <c r="J11" s="7" t="s">
        <v>61</v>
      </c>
      <c r="K11" s="7">
        <v>837</v>
      </c>
      <c r="L11" s="7">
        <v>35</v>
      </c>
      <c r="M11" s="7" t="s">
        <v>59</v>
      </c>
      <c r="N11" s="10">
        <v>6.6983229697617344E-2</v>
      </c>
      <c r="O11" s="7">
        <v>0.35</v>
      </c>
      <c r="P11" s="7">
        <v>0.25</v>
      </c>
      <c r="R11" s="30">
        <f t="shared" si="4"/>
        <v>1727.2474999999999</v>
      </c>
      <c r="S11" s="7" t="str">
        <f t="shared" si="5"/>
        <v>&gt; 95</v>
      </c>
      <c r="T11" s="7" t="str">
        <f t="shared" si="0"/>
        <v>&gt; 800</v>
      </c>
      <c r="U11" s="31">
        <f t="shared" si="1"/>
        <v>0.05</v>
      </c>
      <c r="V11" s="30">
        <f t="shared" si="2"/>
        <v>230971.79937383049</v>
      </c>
      <c r="W11" s="30">
        <f t="shared" si="3"/>
        <v>54492.468019486289</v>
      </c>
      <c r="X11" s="30">
        <f t="shared" si="6"/>
        <v>54492.468019486289</v>
      </c>
      <c r="Y11" s="30">
        <f t="shared" si="7"/>
        <v>2724.6234009743148</v>
      </c>
    </row>
    <row r="12" spans="1:25" x14ac:dyDescent="0.15">
      <c r="A12" s="7">
        <v>1008</v>
      </c>
      <c r="B12" s="19">
        <v>45311</v>
      </c>
      <c r="C12" s="7">
        <v>360</v>
      </c>
      <c r="D12" s="19">
        <v>45747</v>
      </c>
      <c r="E12" s="7">
        <v>14</v>
      </c>
      <c r="F12" s="29">
        <v>221897</v>
      </c>
      <c r="G12" s="29">
        <v>201544.60970134824</v>
      </c>
      <c r="H12" s="29">
        <v>267345.78313253011</v>
      </c>
      <c r="I12" s="7">
        <v>83</v>
      </c>
      <c r="J12" s="7" t="s">
        <v>68</v>
      </c>
      <c r="K12" s="7">
        <v>846</v>
      </c>
      <c r="L12" s="7">
        <v>11</v>
      </c>
      <c r="M12" s="7" t="s">
        <v>59</v>
      </c>
      <c r="N12" s="10">
        <v>6.8482555364785258E-2</v>
      </c>
      <c r="O12" s="7">
        <v>0.12</v>
      </c>
      <c r="P12" s="7">
        <v>0.43</v>
      </c>
      <c r="R12" s="30">
        <f t="shared" si="4"/>
        <v>954.1570999999999</v>
      </c>
      <c r="S12" s="7" t="str">
        <f t="shared" si="5"/>
        <v>80-85</v>
      </c>
      <c r="T12" s="7" t="str">
        <f t="shared" si="0"/>
        <v>&gt; 800</v>
      </c>
      <c r="U12" s="31">
        <f t="shared" si="1"/>
        <v>0.01</v>
      </c>
      <c r="V12" s="30">
        <f t="shared" si="2"/>
        <v>25394.620822369878</v>
      </c>
      <c r="W12" s="30">
        <f t="shared" si="3"/>
        <v>-15622.075476234924</v>
      </c>
      <c r="X12" s="30">
        <f t="shared" si="6"/>
        <v>0</v>
      </c>
      <c r="Y12" s="30">
        <f t="shared" si="7"/>
        <v>0</v>
      </c>
    </row>
    <row r="13" spans="1:25" x14ac:dyDescent="0.15">
      <c r="A13" s="7">
        <v>1009</v>
      </c>
      <c r="B13" s="19">
        <v>45393</v>
      </c>
      <c r="C13" s="7">
        <v>360</v>
      </c>
      <c r="D13" s="19">
        <v>45747</v>
      </c>
      <c r="E13" s="7">
        <v>11</v>
      </c>
      <c r="F13" s="29">
        <v>327092</v>
      </c>
      <c r="G13" s="29">
        <v>304977.36777045298</v>
      </c>
      <c r="H13" s="29">
        <v>384814.11764705885</v>
      </c>
      <c r="I13" s="7">
        <v>85</v>
      </c>
      <c r="J13" s="7" t="s">
        <v>70</v>
      </c>
      <c r="K13" s="7">
        <v>721</v>
      </c>
      <c r="L13" s="7">
        <v>21</v>
      </c>
      <c r="M13" s="7" t="s">
        <v>59</v>
      </c>
      <c r="N13" s="10">
        <v>6.2333504997443681E-2</v>
      </c>
      <c r="O13" s="7">
        <v>0.12</v>
      </c>
      <c r="P13" s="7">
        <v>0.39</v>
      </c>
      <c r="R13" s="30">
        <f t="shared" si="4"/>
        <v>1275.6588000000002</v>
      </c>
      <c r="S13" s="7" t="str">
        <f t="shared" si="5"/>
        <v>80-85</v>
      </c>
      <c r="T13" s="7" t="str">
        <f t="shared" si="0"/>
        <v>700-750</v>
      </c>
      <c r="U13" s="31">
        <f t="shared" si="1"/>
        <v>2.5000000000000001E-2</v>
      </c>
      <c r="V13" s="30">
        <f t="shared" si="2"/>
        <v>38427.148339077074</v>
      </c>
      <c r="W13" s="30">
        <f t="shared" si="3"/>
        <v>-6865.7638410243671</v>
      </c>
      <c r="X13" s="30">
        <f t="shared" si="6"/>
        <v>0</v>
      </c>
      <c r="Y13" s="30">
        <f t="shared" si="7"/>
        <v>0</v>
      </c>
    </row>
    <row r="14" spans="1:25" x14ac:dyDescent="0.15">
      <c r="A14" s="7">
        <v>1010</v>
      </c>
      <c r="B14" s="19">
        <v>45374</v>
      </c>
      <c r="C14" s="7">
        <v>360</v>
      </c>
      <c r="D14" s="19">
        <v>45747</v>
      </c>
      <c r="E14" s="7">
        <v>12</v>
      </c>
      <c r="F14" s="29">
        <v>131888</v>
      </c>
      <c r="G14" s="29">
        <v>120929.77931356592</v>
      </c>
      <c r="H14" s="29">
        <v>140306.38297872341</v>
      </c>
      <c r="I14" s="7">
        <v>94</v>
      </c>
      <c r="J14" s="7" t="s">
        <v>72</v>
      </c>
      <c r="K14" s="7">
        <v>658</v>
      </c>
      <c r="L14" s="7">
        <v>2</v>
      </c>
      <c r="M14" s="7" t="s">
        <v>59</v>
      </c>
      <c r="N14" s="10">
        <v>7.4002132490176231E-2</v>
      </c>
      <c r="O14" s="7">
        <v>0.25</v>
      </c>
      <c r="P14" s="7">
        <v>0.33</v>
      </c>
      <c r="R14" s="30">
        <f t="shared" si="4"/>
        <v>435.23040000000003</v>
      </c>
      <c r="S14" s="7" t="str">
        <f t="shared" si="5"/>
        <v>90-95</v>
      </c>
      <c r="T14" s="7" t="str">
        <f t="shared" si="0"/>
        <v>650-700</v>
      </c>
      <c r="U14" s="31">
        <f t="shared" si="1"/>
        <v>7.0000000000000007E-2</v>
      </c>
      <c r="V14" s="30">
        <f t="shared" si="2"/>
        <v>31744.067069811055</v>
      </c>
      <c r="W14" s="30">
        <f t="shared" si="3"/>
        <v>7715.8427473293268</v>
      </c>
      <c r="X14" s="30">
        <f t="shared" si="6"/>
        <v>7715.8427473293268</v>
      </c>
      <c r="Y14" s="30">
        <f t="shared" si="7"/>
        <v>540.10899231305291</v>
      </c>
    </row>
    <row r="15" spans="1:25" x14ac:dyDescent="0.15">
      <c r="A15" s="7">
        <v>1011</v>
      </c>
      <c r="B15" s="19">
        <v>45425</v>
      </c>
      <c r="C15" s="7">
        <v>360</v>
      </c>
      <c r="D15" s="19">
        <v>45747</v>
      </c>
      <c r="E15" s="7">
        <v>10</v>
      </c>
      <c r="F15" s="29">
        <v>598834</v>
      </c>
      <c r="G15" s="29">
        <v>561296.99564673123</v>
      </c>
      <c r="H15" s="29">
        <v>748542.5</v>
      </c>
      <c r="I15" s="7">
        <v>80</v>
      </c>
      <c r="J15" s="7" t="s">
        <v>62</v>
      </c>
      <c r="K15" s="7">
        <v>642</v>
      </c>
      <c r="L15" s="7">
        <v>26</v>
      </c>
      <c r="M15" s="7" t="s">
        <v>59</v>
      </c>
      <c r="N15" s="10">
        <v>6.4202878728888621E-2</v>
      </c>
      <c r="O15" s="7">
        <v>0.12</v>
      </c>
      <c r="P15" s="7">
        <v>0.22</v>
      </c>
      <c r="R15" s="30">
        <f t="shared" si="4"/>
        <v>1317.4348</v>
      </c>
      <c r="S15" s="7" t="str">
        <f t="shared" si="5"/>
        <v>80-85</v>
      </c>
      <c r="T15" s="7" t="str">
        <f t="shared" si="0"/>
        <v>&lt; 650</v>
      </c>
      <c r="U15" s="31">
        <f t="shared" si="1"/>
        <v>0.04</v>
      </c>
      <c r="V15" s="30">
        <f t="shared" si="2"/>
        <v>70723.421451488146</v>
      </c>
      <c r="W15" s="30">
        <f t="shared" si="3"/>
        <v>-46899.279570932151</v>
      </c>
      <c r="X15" s="30">
        <f t="shared" si="6"/>
        <v>0</v>
      </c>
      <c r="Y15" s="30">
        <f t="shared" si="7"/>
        <v>0</v>
      </c>
    </row>
    <row r="16" spans="1:25" x14ac:dyDescent="0.15">
      <c r="A16" s="7">
        <v>1012</v>
      </c>
      <c r="B16" s="19">
        <v>45378</v>
      </c>
      <c r="C16" s="7">
        <v>360</v>
      </c>
      <c r="D16" s="19">
        <v>45747</v>
      </c>
      <c r="E16" s="7">
        <v>12</v>
      </c>
      <c r="F16" s="29">
        <v>658721</v>
      </c>
      <c r="G16" s="29">
        <v>611632.53810804314</v>
      </c>
      <c r="H16" s="29">
        <v>813235.80246913573</v>
      </c>
      <c r="I16" s="7">
        <v>81</v>
      </c>
      <c r="J16" s="7" t="s">
        <v>70</v>
      </c>
      <c r="K16" s="7">
        <v>772</v>
      </c>
      <c r="L16" s="7">
        <v>45</v>
      </c>
      <c r="M16" s="7" t="s">
        <v>59</v>
      </c>
      <c r="N16" s="10">
        <v>5.9401127254197078E-2</v>
      </c>
      <c r="O16" s="7">
        <v>0.12</v>
      </c>
      <c r="P16" s="7">
        <v>0.28999999999999998</v>
      </c>
      <c r="R16" s="30">
        <f t="shared" si="4"/>
        <v>1910.2909</v>
      </c>
      <c r="S16" s="7" t="str">
        <f t="shared" si="5"/>
        <v>80-85</v>
      </c>
      <c r="T16" s="7" t="str">
        <f t="shared" si="0"/>
        <v>750-800</v>
      </c>
      <c r="U16" s="31">
        <f t="shared" si="1"/>
        <v>0.02</v>
      </c>
      <c r="V16" s="30">
        <f t="shared" si="2"/>
        <v>77065.699801613431</v>
      </c>
      <c r="W16" s="30">
        <f t="shared" si="3"/>
        <v>-49036.267085320083</v>
      </c>
      <c r="X16" s="30">
        <f t="shared" si="6"/>
        <v>0</v>
      </c>
      <c r="Y16" s="30">
        <f t="shared" si="7"/>
        <v>0</v>
      </c>
    </row>
    <row r="17" spans="1:25" x14ac:dyDescent="0.15">
      <c r="A17" s="7">
        <v>1013</v>
      </c>
      <c r="B17" s="19">
        <v>45407</v>
      </c>
      <c r="C17" s="7">
        <v>360</v>
      </c>
      <c r="D17" s="19">
        <v>45747</v>
      </c>
      <c r="E17" s="7">
        <v>11</v>
      </c>
      <c r="F17" s="29">
        <v>622121</v>
      </c>
      <c r="G17" s="29">
        <v>583531.80034715706</v>
      </c>
      <c r="H17" s="29">
        <v>676218.47826086951</v>
      </c>
      <c r="I17" s="7">
        <v>92</v>
      </c>
      <c r="J17" s="7" t="s">
        <v>68</v>
      </c>
      <c r="K17" s="7">
        <v>758</v>
      </c>
      <c r="L17" s="7">
        <v>33</v>
      </c>
      <c r="M17" s="7" t="s">
        <v>59</v>
      </c>
      <c r="N17" s="10">
        <v>5.4378373210068567E-2</v>
      </c>
      <c r="O17" s="7">
        <v>0.25</v>
      </c>
      <c r="P17" s="7">
        <v>0.32</v>
      </c>
      <c r="R17" s="30">
        <f t="shared" si="4"/>
        <v>1990.7872</v>
      </c>
      <c r="S17" s="7" t="str">
        <f t="shared" si="5"/>
        <v>90-95</v>
      </c>
      <c r="T17" s="7" t="str">
        <f t="shared" si="0"/>
        <v>750-800</v>
      </c>
      <c r="U17" s="31">
        <f t="shared" si="1"/>
        <v>0.05</v>
      </c>
      <c r="V17" s="30">
        <f t="shared" si="2"/>
        <v>153177.09759112872</v>
      </c>
      <c r="W17" s="30">
        <f t="shared" si="3"/>
        <v>37922.683842775878</v>
      </c>
      <c r="X17" s="30">
        <f t="shared" si="6"/>
        <v>37922.683842775878</v>
      </c>
      <c r="Y17" s="30">
        <f t="shared" si="7"/>
        <v>1896.1341921387939</v>
      </c>
    </row>
    <row r="18" spans="1:25" x14ac:dyDescent="0.15">
      <c r="A18" s="7">
        <v>1014</v>
      </c>
      <c r="B18" s="19">
        <v>45334</v>
      </c>
      <c r="C18" s="7">
        <v>360</v>
      </c>
      <c r="D18" s="19">
        <v>45747</v>
      </c>
      <c r="E18" s="7">
        <v>13</v>
      </c>
      <c r="F18" s="29">
        <v>442304</v>
      </c>
      <c r="G18" s="29">
        <v>400720.63140264741</v>
      </c>
      <c r="H18" s="29">
        <v>546054.32098765427</v>
      </c>
      <c r="I18" s="7">
        <v>81</v>
      </c>
      <c r="J18" s="7" t="s">
        <v>65</v>
      </c>
      <c r="K18" s="7">
        <v>791</v>
      </c>
      <c r="L18" s="7">
        <v>40</v>
      </c>
      <c r="M18" s="7" t="s">
        <v>59</v>
      </c>
      <c r="N18" s="10">
        <v>7.8479834044384564E-2</v>
      </c>
      <c r="O18" s="7">
        <v>0.12</v>
      </c>
      <c r="P18" s="7">
        <v>0.35</v>
      </c>
      <c r="R18" s="30">
        <f t="shared" si="4"/>
        <v>1548.0639999999999</v>
      </c>
      <c r="S18" s="7" t="str">
        <f t="shared" si="5"/>
        <v>80-85</v>
      </c>
      <c r="T18" s="7" t="str">
        <f t="shared" si="0"/>
        <v>750-800</v>
      </c>
      <c r="U18" s="31">
        <f t="shared" si="1"/>
        <v>0.02</v>
      </c>
      <c r="V18" s="30">
        <f t="shared" si="2"/>
        <v>50490.799556733575</v>
      </c>
      <c r="W18" s="30">
        <f t="shared" si="3"/>
        <v>-43389.509866726294</v>
      </c>
      <c r="X18" s="30">
        <f t="shared" si="6"/>
        <v>0</v>
      </c>
      <c r="Y18" s="30">
        <f t="shared" si="7"/>
        <v>0</v>
      </c>
    </row>
    <row r="19" spans="1:25" x14ac:dyDescent="0.15">
      <c r="A19" s="7">
        <v>1015</v>
      </c>
      <c r="B19" s="19">
        <v>45440</v>
      </c>
      <c r="C19" s="7">
        <v>360</v>
      </c>
      <c r="D19" s="19">
        <v>45747</v>
      </c>
      <c r="E19" s="7">
        <v>10</v>
      </c>
      <c r="F19" s="29">
        <v>314973</v>
      </c>
      <c r="G19" s="29">
        <v>295652.3317853788</v>
      </c>
      <c r="H19" s="29">
        <v>393716.25</v>
      </c>
      <c r="I19" s="7">
        <v>80</v>
      </c>
      <c r="J19" s="7" t="s">
        <v>68</v>
      </c>
      <c r="K19" s="7">
        <v>633</v>
      </c>
      <c r="L19" s="7">
        <v>25</v>
      </c>
      <c r="M19" s="7" t="s">
        <v>59</v>
      </c>
      <c r="N19" s="10">
        <v>6.2144526095474689E-2</v>
      </c>
      <c r="O19" s="7">
        <v>0.12</v>
      </c>
      <c r="P19" s="7">
        <v>0.41</v>
      </c>
      <c r="R19" s="30">
        <f t="shared" si="4"/>
        <v>1291.3892999999998</v>
      </c>
      <c r="S19" s="7" t="str">
        <f t="shared" si="5"/>
        <v>80-85</v>
      </c>
      <c r="T19" s="7" t="str">
        <f t="shared" si="0"/>
        <v>&lt; 650</v>
      </c>
      <c r="U19" s="31">
        <f t="shared" si="1"/>
        <v>0.04</v>
      </c>
      <c r="V19" s="30">
        <f t="shared" si="2"/>
        <v>37252.193804957729</v>
      </c>
      <c r="W19" s="30">
        <f t="shared" si="3"/>
        <v>-24223.864125352236</v>
      </c>
      <c r="X19" s="30">
        <f t="shared" si="6"/>
        <v>0</v>
      </c>
      <c r="Y19" s="30">
        <f t="shared" si="7"/>
        <v>0</v>
      </c>
    </row>
    <row r="20" spans="1:25" x14ac:dyDescent="0.15">
      <c r="A20" s="7">
        <v>1016</v>
      </c>
      <c r="B20" s="19">
        <v>45300</v>
      </c>
      <c r="C20" s="7">
        <v>360</v>
      </c>
      <c r="D20" s="19">
        <v>45747</v>
      </c>
      <c r="E20" s="7">
        <v>14</v>
      </c>
      <c r="F20" s="29">
        <v>455074</v>
      </c>
      <c r="G20" s="29">
        <v>415409.41264591384</v>
      </c>
      <c r="H20" s="29">
        <v>479025.26315789478</v>
      </c>
      <c r="I20" s="7">
        <v>95</v>
      </c>
      <c r="J20" s="7" t="s">
        <v>69</v>
      </c>
      <c r="K20" s="7">
        <v>811</v>
      </c>
      <c r="L20" s="7">
        <v>44</v>
      </c>
      <c r="M20" s="7" t="s">
        <v>59</v>
      </c>
      <c r="N20" s="10">
        <v>6.3552192578944483E-2</v>
      </c>
      <c r="O20" s="7">
        <v>0.3</v>
      </c>
      <c r="P20" s="7">
        <v>0.28000000000000003</v>
      </c>
      <c r="R20" s="30">
        <f t="shared" si="4"/>
        <v>1274.2072000000001</v>
      </c>
      <c r="S20" s="7" t="str">
        <f t="shared" si="5"/>
        <v>90-95</v>
      </c>
      <c r="T20" s="7" t="str">
        <f t="shared" si="0"/>
        <v>&gt; 800</v>
      </c>
      <c r="U20" s="31">
        <f t="shared" si="1"/>
        <v>0.04</v>
      </c>
      <c r="V20" s="30">
        <f t="shared" si="2"/>
        <v>130853.96498346285</v>
      </c>
      <c r="W20" s="30">
        <f t="shared" si="3"/>
        <v>29008.409593998978</v>
      </c>
      <c r="X20" s="30">
        <f t="shared" si="6"/>
        <v>29008.409593998978</v>
      </c>
      <c r="Y20" s="30">
        <f t="shared" si="7"/>
        <v>1160.3363837599591</v>
      </c>
    </row>
    <row r="21" spans="1:25" x14ac:dyDescent="0.15">
      <c r="A21" s="7">
        <v>1017</v>
      </c>
      <c r="B21" s="19">
        <v>45370</v>
      </c>
      <c r="C21" s="7">
        <v>360</v>
      </c>
      <c r="D21" s="19">
        <v>45747</v>
      </c>
      <c r="E21" s="7">
        <v>12</v>
      </c>
      <c r="F21" s="29">
        <v>520086</v>
      </c>
      <c r="G21" s="29">
        <v>477046.85471273342</v>
      </c>
      <c r="H21" s="29">
        <v>565310.86956521741</v>
      </c>
      <c r="I21" s="7">
        <v>92</v>
      </c>
      <c r="J21" s="7" t="s">
        <v>71</v>
      </c>
      <c r="K21" s="7">
        <v>837</v>
      </c>
      <c r="L21" s="7">
        <v>36</v>
      </c>
      <c r="M21" s="7" t="s">
        <v>59</v>
      </c>
      <c r="N21" s="10">
        <v>7.359452496709333E-2</v>
      </c>
      <c r="O21" s="7">
        <v>0.25</v>
      </c>
      <c r="P21" s="7">
        <v>0.34</v>
      </c>
      <c r="R21" s="30">
        <f t="shared" si="4"/>
        <v>1768.2924000000003</v>
      </c>
      <c r="S21" s="7" t="str">
        <f t="shared" si="5"/>
        <v>90-95</v>
      </c>
      <c r="T21" s="7" t="str">
        <f t="shared" si="0"/>
        <v>&gt; 800</v>
      </c>
      <c r="U21" s="31">
        <f t="shared" si="1"/>
        <v>0.04</v>
      </c>
      <c r="V21" s="30">
        <f t="shared" si="2"/>
        <v>125224.79936209253</v>
      </c>
      <c r="W21" s="30">
        <f t="shared" si="3"/>
        <v>20384.95831793535</v>
      </c>
      <c r="X21" s="30">
        <f t="shared" si="6"/>
        <v>20384.95831793535</v>
      </c>
      <c r="Y21" s="30">
        <f t="shared" si="7"/>
        <v>815.39833271741406</v>
      </c>
    </row>
    <row r="22" spans="1:25" x14ac:dyDescent="0.15">
      <c r="A22" s="7">
        <v>1018</v>
      </c>
      <c r="B22" s="19">
        <v>45313</v>
      </c>
      <c r="C22" s="7">
        <v>360</v>
      </c>
      <c r="D22" s="19">
        <v>45747</v>
      </c>
      <c r="E22" s="7">
        <v>14</v>
      </c>
      <c r="F22" s="29">
        <v>595865</v>
      </c>
      <c r="G22" s="29">
        <v>541002.9201333184</v>
      </c>
      <c r="H22" s="29">
        <v>717909.63855421694</v>
      </c>
      <c r="I22" s="7">
        <v>83</v>
      </c>
      <c r="J22" s="7" t="s">
        <v>61</v>
      </c>
      <c r="K22" s="7">
        <v>638</v>
      </c>
      <c r="L22" s="7">
        <v>25</v>
      </c>
      <c r="M22" s="7" t="s">
        <v>59</v>
      </c>
      <c r="N22" s="10">
        <v>6.88582552190692E-2</v>
      </c>
      <c r="O22" s="7">
        <v>0.12</v>
      </c>
      <c r="P22" s="7">
        <v>0.27</v>
      </c>
      <c r="R22" s="30">
        <f t="shared" si="4"/>
        <v>1608.8355000000001</v>
      </c>
      <c r="S22" s="7" t="str">
        <f t="shared" si="5"/>
        <v>80-85</v>
      </c>
      <c r="T22" s="7" t="str">
        <f t="shared" si="0"/>
        <v>&lt; 650</v>
      </c>
      <c r="U22" s="31">
        <f t="shared" si="1"/>
        <v>0.04</v>
      </c>
      <c r="V22" s="30">
        <f t="shared" si="2"/>
        <v>68166.367936798109</v>
      </c>
      <c r="W22" s="30">
        <f t="shared" si="3"/>
        <v>-42170.12663110008</v>
      </c>
      <c r="X22" s="30">
        <f t="shared" si="6"/>
        <v>0</v>
      </c>
      <c r="Y22" s="30">
        <f t="shared" si="7"/>
        <v>0</v>
      </c>
    </row>
    <row r="23" spans="1:25" x14ac:dyDescent="0.15">
      <c r="A23" s="7">
        <v>1019</v>
      </c>
      <c r="B23" s="19">
        <v>45378</v>
      </c>
      <c r="C23" s="7">
        <v>360</v>
      </c>
      <c r="D23" s="19">
        <v>45747</v>
      </c>
      <c r="E23" s="7">
        <v>12</v>
      </c>
      <c r="F23" s="29">
        <v>575323</v>
      </c>
      <c r="G23" s="29">
        <v>530398.1716837571</v>
      </c>
      <c r="H23" s="29">
        <v>593116.49484536087</v>
      </c>
      <c r="I23" s="7">
        <v>97</v>
      </c>
      <c r="J23" s="7" t="s">
        <v>67</v>
      </c>
      <c r="K23" s="7">
        <v>762</v>
      </c>
      <c r="L23" s="7">
        <v>6</v>
      </c>
      <c r="M23" s="7" t="s">
        <v>59</v>
      </c>
      <c r="N23" s="10">
        <v>6.7818843121847328E-2</v>
      </c>
      <c r="O23" s="7">
        <v>0.35</v>
      </c>
      <c r="P23" s="7">
        <v>0.35</v>
      </c>
      <c r="R23" s="30">
        <f t="shared" si="4"/>
        <v>2013.6305</v>
      </c>
      <c r="S23" s="7" t="str">
        <f t="shared" si="5"/>
        <v>&gt; 95</v>
      </c>
      <c r="T23" s="7" t="str">
        <f t="shared" si="0"/>
        <v>750-800</v>
      </c>
      <c r="U23" s="31">
        <f t="shared" si="1"/>
        <v>0.06</v>
      </c>
      <c r="V23" s="30">
        <f t="shared" si="2"/>
        <v>194921.32809378073</v>
      </c>
      <c r="W23" s="30">
        <f t="shared" si="3"/>
        <v>52769.059649388248</v>
      </c>
      <c r="X23" s="30">
        <f t="shared" si="6"/>
        <v>52769.059649388248</v>
      </c>
      <c r="Y23" s="30">
        <f t="shared" si="7"/>
        <v>3166.1435789632947</v>
      </c>
    </row>
    <row r="24" spans="1:25" x14ac:dyDescent="0.15">
      <c r="A24" s="7">
        <v>1020</v>
      </c>
      <c r="B24" s="19">
        <v>45431</v>
      </c>
      <c r="C24" s="7">
        <v>360</v>
      </c>
      <c r="D24" s="19">
        <v>45747</v>
      </c>
      <c r="E24" s="7">
        <v>10</v>
      </c>
      <c r="F24" s="29">
        <v>553507</v>
      </c>
      <c r="G24" s="29">
        <v>517704.5982211479</v>
      </c>
      <c r="H24" s="29">
        <v>615007.77777777775</v>
      </c>
      <c r="I24" s="7">
        <v>90</v>
      </c>
      <c r="J24" s="7" t="s">
        <v>62</v>
      </c>
      <c r="K24" s="7">
        <v>819</v>
      </c>
      <c r="L24" s="7">
        <v>13</v>
      </c>
      <c r="M24" s="7" t="s">
        <v>59</v>
      </c>
      <c r="N24" s="10">
        <v>6.7233612024798536E-2</v>
      </c>
      <c r="O24" s="7">
        <v>0.25</v>
      </c>
      <c r="P24" s="7">
        <v>0.33</v>
      </c>
      <c r="R24" s="30">
        <f t="shared" si="4"/>
        <v>1826.5731000000001</v>
      </c>
      <c r="S24" s="7" t="str">
        <f t="shared" si="5"/>
        <v>85-90</v>
      </c>
      <c r="T24" s="7" t="str">
        <f t="shared" si="0"/>
        <v>&gt; 800</v>
      </c>
      <c r="U24" s="31">
        <f t="shared" si="1"/>
        <v>0.01</v>
      </c>
      <c r="V24" s="30">
        <f t="shared" si="2"/>
        <v>135897.45703305132</v>
      </c>
      <c r="W24" s="30">
        <f t="shared" si="3"/>
        <v>20833.217021094228</v>
      </c>
      <c r="X24" s="30">
        <f t="shared" si="6"/>
        <v>20833.217021094228</v>
      </c>
      <c r="Y24" s="30">
        <f t="shared" si="7"/>
        <v>208.33217021094228</v>
      </c>
    </row>
    <row r="25" spans="1:25" x14ac:dyDescent="0.15">
      <c r="A25" s="7">
        <v>1021</v>
      </c>
      <c r="B25" s="19">
        <v>45437</v>
      </c>
      <c r="C25" s="7">
        <v>360</v>
      </c>
      <c r="D25" s="19">
        <v>45747</v>
      </c>
      <c r="E25" s="7">
        <v>10</v>
      </c>
      <c r="F25" s="29">
        <v>449811</v>
      </c>
      <c r="G25" s="29">
        <v>422889.42542613519</v>
      </c>
      <c r="H25" s="29">
        <v>483667.74193548382</v>
      </c>
      <c r="I25" s="7">
        <v>93</v>
      </c>
      <c r="J25" s="7" t="s">
        <v>69</v>
      </c>
      <c r="K25" s="7">
        <v>658</v>
      </c>
      <c r="L25" s="7">
        <v>11</v>
      </c>
      <c r="M25" s="7" t="s">
        <v>59</v>
      </c>
      <c r="N25" s="10">
        <v>5.9837874402074262E-2</v>
      </c>
      <c r="O25" s="7">
        <v>0.25</v>
      </c>
      <c r="P25" s="7">
        <v>0.43</v>
      </c>
      <c r="R25" s="30">
        <f t="shared" si="4"/>
        <v>1934.1873000000001</v>
      </c>
      <c r="S25" s="7" t="str">
        <f t="shared" si="5"/>
        <v>90-95</v>
      </c>
      <c r="T25" s="7" t="str">
        <f t="shared" si="0"/>
        <v>650-700</v>
      </c>
      <c r="U25" s="31">
        <f t="shared" si="1"/>
        <v>7.0000000000000007E-2</v>
      </c>
      <c r="V25" s="30">
        <f t="shared" si="2"/>
        <v>111008.4741743605</v>
      </c>
      <c r="W25" s="30">
        <f t="shared" si="3"/>
        <v>32916.316052280774</v>
      </c>
      <c r="X25" s="30">
        <f t="shared" si="6"/>
        <v>32916.316052280774</v>
      </c>
      <c r="Y25" s="30">
        <f t="shared" si="7"/>
        <v>2304.1421236596543</v>
      </c>
    </row>
    <row r="26" spans="1:25" x14ac:dyDescent="0.15">
      <c r="A26" s="7">
        <v>1022</v>
      </c>
      <c r="B26" s="19">
        <v>45295</v>
      </c>
      <c r="C26" s="7">
        <v>360</v>
      </c>
      <c r="D26" s="19">
        <v>45747</v>
      </c>
      <c r="E26" s="7">
        <v>14</v>
      </c>
      <c r="F26" s="29">
        <v>204862</v>
      </c>
      <c r="G26" s="29">
        <v>185084.65171388962</v>
      </c>
      <c r="H26" s="29">
        <v>235473.5632183908</v>
      </c>
      <c r="I26" s="7">
        <v>87</v>
      </c>
      <c r="J26" s="7" t="s">
        <v>73</v>
      </c>
      <c r="K26" s="7">
        <v>794</v>
      </c>
      <c r="L26" s="7">
        <v>14</v>
      </c>
      <c r="M26" s="7" t="s">
        <v>59</v>
      </c>
      <c r="N26" s="10">
        <v>7.3587855138597294E-2</v>
      </c>
      <c r="O26" s="7">
        <v>0.12</v>
      </c>
      <c r="P26" s="7">
        <v>0.43</v>
      </c>
      <c r="R26" s="30">
        <f t="shared" si="4"/>
        <v>880.90660000000003</v>
      </c>
      <c r="S26" s="7" t="str">
        <f t="shared" si="5"/>
        <v>85-90</v>
      </c>
      <c r="T26" s="7" t="str">
        <f t="shared" si="0"/>
        <v>750-800</v>
      </c>
      <c r="U26" s="31">
        <f t="shared" si="1"/>
        <v>0.02</v>
      </c>
      <c r="V26" s="30">
        <f t="shared" si="2"/>
        <v>23320.666115950091</v>
      </c>
      <c r="W26" s="30">
        <f t="shared" si="3"/>
        <v>-5813.6444360480527</v>
      </c>
      <c r="X26" s="30">
        <f t="shared" si="6"/>
        <v>0</v>
      </c>
      <c r="Y26" s="30">
        <f t="shared" si="7"/>
        <v>0</v>
      </c>
    </row>
    <row r="27" spans="1:25" x14ac:dyDescent="0.15">
      <c r="A27" s="7">
        <v>1023</v>
      </c>
      <c r="B27" s="19">
        <v>45354</v>
      </c>
      <c r="C27" s="7">
        <v>360</v>
      </c>
      <c r="D27" s="19">
        <v>45747</v>
      </c>
      <c r="E27" s="7">
        <v>12</v>
      </c>
      <c r="F27" s="29">
        <v>211172</v>
      </c>
      <c r="G27" s="29">
        <v>196051.6174315133</v>
      </c>
      <c r="H27" s="29">
        <v>224651.06382978725</v>
      </c>
      <c r="I27" s="7">
        <v>94</v>
      </c>
      <c r="J27" s="7" t="s">
        <v>62</v>
      </c>
      <c r="K27" s="7">
        <v>612</v>
      </c>
      <c r="L27" s="7">
        <v>1</v>
      </c>
      <c r="M27" s="7" t="s">
        <v>59</v>
      </c>
      <c r="N27" s="10">
        <v>5.9553842861583065E-2</v>
      </c>
      <c r="O27" s="7">
        <v>0.25</v>
      </c>
      <c r="P27" s="7">
        <v>0.41</v>
      </c>
      <c r="R27" s="30">
        <f t="shared" si="4"/>
        <v>865.8051999999999</v>
      </c>
      <c r="S27" s="7" t="str">
        <f t="shared" si="5"/>
        <v>90-95</v>
      </c>
      <c r="T27" s="7" t="str">
        <f t="shared" si="0"/>
        <v>&lt; 650</v>
      </c>
      <c r="U27" s="31">
        <f t="shared" si="1"/>
        <v>0.08</v>
      </c>
      <c r="V27" s="30">
        <f t="shared" si="2"/>
        <v>51463.549575772246</v>
      </c>
      <c r="W27" s="30">
        <f t="shared" si="3"/>
        <v>14900.794047769828</v>
      </c>
      <c r="X27" s="30">
        <f t="shared" si="6"/>
        <v>14900.794047769828</v>
      </c>
      <c r="Y27" s="30">
        <f t="shared" si="7"/>
        <v>1192.0635238215864</v>
      </c>
    </row>
    <row r="28" spans="1:25" x14ac:dyDescent="0.15">
      <c r="A28" s="7">
        <v>1024</v>
      </c>
      <c r="B28" s="19">
        <v>45422</v>
      </c>
      <c r="C28" s="7">
        <v>360</v>
      </c>
      <c r="D28" s="19">
        <v>45747</v>
      </c>
      <c r="E28" s="7">
        <v>10</v>
      </c>
      <c r="F28" s="29">
        <v>523153</v>
      </c>
      <c r="G28" s="29">
        <v>490546.82199006848</v>
      </c>
      <c r="H28" s="29">
        <v>587812.35955056176</v>
      </c>
      <c r="I28" s="7">
        <v>89</v>
      </c>
      <c r="J28" s="7" t="s">
        <v>64</v>
      </c>
      <c r="K28" s="7">
        <v>622</v>
      </c>
      <c r="L28" s="7">
        <v>9</v>
      </c>
      <c r="M28" s="7" t="s">
        <v>59</v>
      </c>
      <c r="N28" s="10">
        <v>6.3657151226928069E-2</v>
      </c>
      <c r="O28" s="7">
        <v>0.12</v>
      </c>
      <c r="P28" s="7">
        <v>0.41</v>
      </c>
      <c r="R28" s="30">
        <f t="shared" si="4"/>
        <v>2144.9272999999998</v>
      </c>
      <c r="S28" s="7" t="str">
        <f t="shared" si="5"/>
        <v>85-90</v>
      </c>
      <c r="T28" s="7" t="str">
        <f t="shared" si="0"/>
        <v>&lt; 650</v>
      </c>
      <c r="U28" s="31">
        <f t="shared" si="1"/>
        <v>0.05</v>
      </c>
      <c r="V28" s="30">
        <f t="shared" si="2"/>
        <v>61808.899570748632</v>
      </c>
      <c r="W28" s="30">
        <f t="shared" si="3"/>
        <v>15433.657471594459</v>
      </c>
      <c r="X28" s="30">
        <f t="shared" si="6"/>
        <v>15433.657471594459</v>
      </c>
      <c r="Y28" s="30">
        <f t="shared" si="7"/>
        <v>771.68287357972304</v>
      </c>
    </row>
    <row r="29" spans="1:25" x14ac:dyDescent="0.15">
      <c r="A29" s="7">
        <v>1025</v>
      </c>
      <c r="B29" s="19">
        <v>45343</v>
      </c>
      <c r="C29" s="7">
        <v>360</v>
      </c>
      <c r="D29" s="19">
        <v>45747</v>
      </c>
      <c r="E29" s="7">
        <v>13</v>
      </c>
      <c r="F29" s="29">
        <v>746904</v>
      </c>
      <c r="G29" s="29">
        <v>681993.8997487505</v>
      </c>
      <c r="H29" s="29">
        <v>778025</v>
      </c>
      <c r="I29" s="7">
        <v>96</v>
      </c>
      <c r="J29" s="7" t="s">
        <v>60</v>
      </c>
      <c r="K29" s="7">
        <v>837</v>
      </c>
      <c r="L29" s="7">
        <v>20</v>
      </c>
      <c r="M29" s="7" t="s">
        <v>59</v>
      </c>
      <c r="N29" s="10">
        <v>7.0476273981328927E-2</v>
      </c>
      <c r="O29" s="7">
        <v>0.3</v>
      </c>
      <c r="P29" s="7">
        <v>0.28000000000000003</v>
      </c>
      <c r="R29" s="30">
        <f t="shared" si="4"/>
        <v>2091.3312000000001</v>
      </c>
      <c r="S29" s="7" t="str">
        <f t="shared" si="5"/>
        <v>&gt; 95</v>
      </c>
      <c r="T29" s="7" t="str">
        <f t="shared" si="0"/>
        <v>&gt; 800</v>
      </c>
      <c r="U29" s="31">
        <f t="shared" si="1"/>
        <v>0.05</v>
      </c>
      <c r="V29" s="30">
        <f t="shared" si="2"/>
        <v>214828.07842085641</v>
      </c>
      <c r="W29" s="30">
        <f t="shared" si="3"/>
        <v>54772.344736188068</v>
      </c>
      <c r="X29" s="30">
        <f t="shared" si="6"/>
        <v>54772.344736188068</v>
      </c>
      <c r="Y29" s="30">
        <f t="shared" si="7"/>
        <v>2738.6172368094035</v>
      </c>
    </row>
    <row r="30" spans="1:25" x14ac:dyDescent="0.15">
      <c r="A30" s="7">
        <v>1026</v>
      </c>
      <c r="B30" s="19">
        <v>45335</v>
      </c>
      <c r="C30" s="7">
        <v>360</v>
      </c>
      <c r="D30" s="19">
        <v>45747</v>
      </c>
      <c r="E30" s="7">
        <v>13</v>
      </c>
      <c r="F30" s="29">
        <v>233022</v>
      </c>
      <c r="G30" s="29">
        <v>213700.41323845406</v>
      </c>
      <c r="H30" s="29">
        <v>267841.37931034481</v>
      </c>
      <c r="I30" s="7">
        <v>87</v>
      </c>
      <c r="J30" s="7" t="s">
        <v>69</v>
      </c>
      <c r="K30" s="7">
        <v>615</v>
      </c>
      <c r="L30" s="7">
        <v>12</v>
      </c>
      <c r="M30" s="7" t="s">
        <v>59</v>
      </c>
      <c r="N30" s="10">
        <v>6.5873942572682004E-2</v>
      </c>
      <c r="O30" s="7">
        <v>0.12</v>
      </c>
      <c r="P30" s="7">
        <v>0.31</v>
      </c>
      <c r="R30" s="30">
        <f t="shared" si="4"/>
        <v>722.36819999999989</v>
      </c>
      <c r="S30" s="7" t="str">
        <f t="shared" si="5"/>
        <v>85-90</v>
      </c>
      <c r="T30" s="7" t="str">
        <f t="shared" si="0"/>
        <v>&lt; 650</v>
      </c>
      <c r="U30" s="31">
        <f t="shared" si="1"/>
        <v>0.05</v>
      </c>
      <c r="V30" s="30">
        <f t="shared" si="2"/>
        <v>26926.252068045214</v>
      </c>
      <c r="W30" s="30">
        <f t="shared" si="3"/>
        <v>-3279.7385134162905</v>
      </c>
      <c r="X30" s="30">
        <f t="shared" si="6"/>
        <v>0</v>
      </c>
      <c r="Y30" s="30">
        <f t="shared" si="7"/>
        <v>0</v>
      </c>
    </row>
    <row r="31" spans="1:25" x14ac:dyDescent="0.15">
      <c r="A31" s="7">
        <v>1027</v>
      </c>
      <c r="B31" s="19">
        <v>45357</v>
      </c>
      <c r="C31" s="7">
        <v>360</v>
      </c>
      <c r="D31" s="19">
        <v>45747</v>
      </c>
      <c r="E31" s="7">
        <v>12</v>
      </c>
      <c r="F31" s="29">
        <v>736633</v>
      </c>
      <c r="G31" s="29">
        <v>683792.78243894491</v>
      </c>
      <c r="H31" s="29">
        <v>837082.95454545459</v>
      </c>
      <c r="I31" s="7">
        <v>88</v>
      </c>
      <c r="J31" s="7" t="s">
        <v>74</v>
      </c>
      <c r="K31" s="7">
        <v>703</v>
      </c>
      <c r="L31" s="7">
        <v>4</v>
      </c>
      <c r="M31" s="7" t="s">
        <v>59</v>
      </c>
      <c r="N31" s="10">
        <v>5.9722460492232281E-2</v>
      </c>
      <c r="O31" s="7">
        <v>0.12</v>
      </c>
      <c r="P31" s="7">
        <v>0.38</v>
      </c>
      <c r="R31" s="30">
        <f t="shared" si="4"/>
        <v>2799.2053999999998</v>
      </c>
      <c r="S31" s="7" t="str">
        <f t="shared" si="5"/>
        <v>85-90</v>
      </c>
      <c r="T31" s="7" t="str">
        <f t="shared" si="0"/>
        <v>700-750</v>
      </c>
      <c r="U31" s="31">
        <f t="shared" si="1"/>
        <v>0.03</v>
      </c>
      <c r="V31" s="30">
        <f t="shared" si="2"/>
        <v>86157.890587307047</v>
      </c>
      <c r="W31" s="30">
        <f t="shared" si="3"/>
        <v>6461.9101972557837</v>
      </c>
      <c r="X31" s="30">
        <f t="shared" si="6"/>
        <v>6461.9101972557837</v>
      </c>
      <c r="Y31" s="30">
        <f t="shared" si="7"/>
        <v>193.8573059176735</v>
      </c>
    </row>
    <row r="32" spans="1:25" x14ac:dyDescent="0.15">
      <c r="A32" s="7">
        <v>1028</v>
      </c>
      <c r="B32" s="19">
        <v>45306</v>
      </c>
      <c r="C32" s="7">
        <v>360</v>
      </c>
      <c r="D32" s="19">
        <v>45747</v>
      </c>
      <c r="E32" s="7">
        <v>14</v>
      </c>
      <c r="F32" s="29">
        <v>700596</v>
      </c>
      <c r="G32" s="29">
        <v>639013.66221834777</v>
      </c>
      <c r="H32" s="29">
        <v>769885.7142857142</v>
      </c>
      <c r="I32" s="7">
        <v>91</v>
      </c>
      <c r="J32" s="7" t="s">
        <v>69</v>
      </c>
      <c r="K32" s="7">
        <v>660</v>
      </c>
      <c r="L32" s="7">
        <v>10</v>
      </c>
      <c r="M32" s="7" t="s">
        <v>59</v>
      </c>
      <c r="N32" s="10">
        <v>6.4358731359389007E-2</v>
      </c>
      <c r="O32" s="7">
        <v>0.25</v>
      </c>
      <c r="P32" s="7">
        <v>0.2</v>
      </c>
      <c r="R32" s="30">
        <f t="shared" si="4"/>
        <v>1401.192</v>
      </c>
      <c r="S32" s="7" t="str">
        <f t="shared" si="5"/>
        <v>90-95</v>
      </c>
      <c r="T32" s="7" t="str">
        <f t="shared" si="0"/>
        <v>650-700</v>
      </c>
      <c r="U32" s="31">
        <f t="shared" si="1"/>
        <v>7.0000000000000007E-2</v>
      </c>
      <c r="V32" s="30">
        <f t="shared" si="2"/>
        <v>167741.08633231631</v>
      </c>
      <c r="W32" s="30">
        <f t="shared" si="3"/>
        <v>16561.488186408184</v>
      </c>
      <c r="X32" s="30">
        <f t="shared" si="6"/>
        <v>16561.488186408184</v>
      </c>
      <c r="Y32" s="30">
        <f t="shared" si="7"/>
        <v>1159.3041730485729</v>
      </c>
    </row>
    <row r="33" spans="1:25" x14ac:dyDescent="0.15">
      <c r="A33" s="7">
        <v>1029</v>
      </c>
      <c r="B33" s="19">
        <v>45390</v>
      </c>
      <c r="C33" s="7">
        <v>360</v>
      </c>
      <c r="D33" s="19">
        <v>45747</v>
      </c>
      <c r="E33" s="7">
        <v>11</v>
      </c>
      <c r="F33" s="29">
        <v>601174</v>
      </c>
      <c r="G33" s="29">
        <v>555309.51421190787</v>
      </c>
      <c r="H33" s="29">
        <v>626222.91666666674</v>
      </c>
      <c r="I33" s="7">
        <v>96</v>
      </c>
      <c r="J33" s="7" t="s">
        <v>65</v>
      </c>
      <c r="K33" s="7">
        <v>790</v>
      </c>
      <c r="L33" s="7">
        <v>37</v>
      </c>
      <c r="M33" s="7" t="s">
        <v>59</v>
      </c>
      <c r="N33" s="10">
        <v>7.4172856670272166E-2</v>
      </c>
      <c r="O33" s="7">
        <v>0.3</v>
      </c>
      <c r="P33" s="7">
        <v>0.32</v>
      </c>
      <c r="R33" s="30">
        <f t="shared" si="4"/>
        <v>1923.7567999999999</v>
      </c>
      <c r="S33" s="7" t="str">
        <f t="shared" si="5"/>
        <v>&gt; 95</v>
      </c>
      <c r="T33" s="7" t="str">
        <f t="shared" si="0"/>
        <v>750-800</v>
      </c>
      <c r="U33" s="31">
        <f t="shared" si="1"/>
        <v>0.06</v>
      </c>
      <c r="V33" s="30">
        <f t="shared" si="2"/>
        <v>174922.49697675096</v>
      </c>
      <c r="W33" s="30">
        <f t="shared" si="3"/>
        <v>50785.510755836498</v>
      </c>
      <c r="X33" s="30">
        <f t="shared" si="6"/>
        <v>50785.510755836498</v>
      </c>
      <c r="Y33" s="30">
        <f t="shared" si="7"/>
        <v>3047.1306453501898</v>
      </c>
    </row>
    <row r="34" spans="1:25" x14ac:dyDescent="0.15">
      <c r="A34" s="7">
        <v>1030</v>
      </c>
      <c r="B34" s="19">
        <v>45349</v>
      </c>
      <c r="C34" s="7">
        <v>360</v>
      </c>
      <c r="D34" s="19">
        <v>45747</v>
      </c>
      <c r="E34" s="7">
        <v>13</v>
      </c>
      <c r="F34" s="29">
        <v>354068</v>
      </c>
      <c r="G34" s="29">
        <v>327110.008078477</v>
      </c>
      <c r="H34" s="29">
        <v>372703.15789473685</v>
      </c>
      <c r="I34" s="7">
        <v>95</v>
      </c>
      <c r="J34" s="7" t="s">
        <v>64</v>
      </c>
      <c r="K34" s="7">
        <v>697</v>
      </c>
      <c r="L34" s="7">
        <v>14</v>
      </c>
      <c r="M34" s="7" t="s">
        <v>59</v>
      </c>
      <c r="N34" s="10">
        <v>5.7830817298684521E-2</v>
      </c>
      <c r="O34" s="7">
        <v>0.3</v>
      </c>
      <c r="P34" s="7">
        <v>0.28000000000000003</v>
      </c>
      <c r="R34" s="30">
        <f t="shared" si="4"/>
        <v>991.39040000000011</v>
      </c>
      <c r="S34" s="7" t="str">
        <f t="shared" si="5"/>
        <v>90-95</v>
      </c>
      <c r="T34" s="7" t="str">
        <f t="shared" si="0"/>
        <v>650-700</v>
      </c>
      <c r="U34" s="31">
        <f t="shared" si="1"/>
        <v>7.0000000000000007E-2</v>
      </c>
      <c r="V34" s="30">
        <f t="shared" si="2"/>
        <v>103039.65254472026</v>
      </c>
      <c r="W34" s="30">
        <f t="shared" si="3"/>
        <v>26667.824271874561</v>
      </c>
      <c r="X34" s="30">
        <f t="shared" si="6"/>
        <v>26667.824271874561</v>
      </c>
      <c r="Y34" s="30">
        <f t="shared" si="7"/>
        <v>1866.7476990312193</v>
      </c>
    </row>
    <row r="35" spans="1:25" x14ac:dyDescent="0.15">
      <c r="A35" s="7">
        <v>1031</v>
      </c>
      <c r="B35" s="19">
        <v>45389</v>
      </c>
      <c r="C35" s="7">
        <v>360</v>
      </c>
      <c r="D35" s="19">
        <v>45747</v>
      </c>
      <c r="E35" s="7">
        <v>11</v>
      </c>
      <c r="F35" s="29">
        <v>418751</v>
      </c>
      <c r="G35" s="29">
        <v>388285.05311857071</v>
      </c>
      <c r="H35" s="29">
        <v>492648.23529411765</v>
      </c>
      <c r="I35" s="7">
        <v>85</v>
      </c>
      <c r="J35" s="7" t="s">
        <v>64</v>
      </c>
      <c r="K35" s="7">
        <v>771</v>
      </c>
      <c r="L35" s="7">
        <v>0</v>
      </c>
      <c r="M35" s="7" t="s">
        <v>59</v>
      </c>
      <c r="N35" s="10">
        <v>6.9418681011879493E-2</v>
      </c>
      <c r="O35" s="7">
        <v>0.12</v>
      </c>
      <c r="P35" s="7">
        <v>0.25</v>
      </c>
      <c r="R35" s="30">
        <f t="shared" si="4"/>
        <v>1046.8775000000001</v>
      </c>
      <c r="S35" s="7" t="str">
        <f t="shared" si="5"/>
        <v>80-85</v>
      </c>
      <c r="T35" s="7" t="str">
        <f t="shared" si="0"/>
        <v>750-800</v>
      </c>
      <c r="U35" s="31">
        <f t="shared" si="1"/>
        <v>0.02</v>
      </c>
      <c r="V35" s="30">
        <f t="shared" si="2"/>
        <v>48923.916692939907</v>
      </c>
      <c r="W35" s="30">
        <f t="shared" si="3"/>
        <v>-11051.694225500745</v>
      </c>
      <c r="X35" s="30">
        <f t="shared" si="6"/>
        <v>0</v>
      </c>
      <c r="Y35" s="30">
        <f t="shared" si="7"/>
        <v>0</v>
      </c>
    </row>
    <row r="36" spans="1:25" x14ac:dyDescent="0.15">
      <c r="A36" s="7">
        <v>1032</v>
      </c>
      <c r="B36" s="19">
        <v>45461</v>
      </c>
      <c r="C36" s="7">
        <v>360</v>
      </c>
      <c r="D36" s="19">
        <v>45747</v>
      </c>
      <c r="E36" s="7">
        <v>9</v>
      </c>
      <c r="F36" s="29">
        <v>216118</v>
      </c>
      <c r="G36" s="29">
        <v>204605.273464128</v>
      </c>
      <c r="H36" s="29">
        <v>270147.5</v>
      </c>
      <c r="I36" s="7">
        <v>80</v>
      </c>
      <c r="J36" s="7" t="s">
        <v>62</v>
      </c>
      <c r="K36" s="7">
        <v>786</v>
      </c>
      <c r="L36" s="7">
        <v>27</v>
      </c>
      <c r="M36" s="7" t="s">
        <v>59</v>
      </c>
      <c r="N36" s="10">
        <v>5.8805902649320785E-2</v>
      </c>
      <c r="O36" s="7">
        <v>0.12</v>
      </c>
      <c r="P36" s="7">
        <v>0.21</v>
      </c>
      <c r="R36" s="30">
        <f t="shared" si="4"/>
        <v>453.84780000000001</v>
      </c>
      <c r="S36" s="7" t="str">
        <f t="shared" si="5"/>
        <v>80-85</v>
      </c>
      <c r="T36" s="7" t="str">
        <f t="shared" si="0"/>
        <v>750-800</v>
      </c>
      <c r="U36" s="31">
        <f t="shared" si="1"/>
        <v>0.02</v>
      </c>
      <c r="V36" s="30">
        <f t="shared" si="2"/>
        <v>25780.264456480127</v>
      </c>
      <c r="W36" s="30">
        <f t="shared" si="3"/>
        <v>-14789.83786266559</v>
      </c>
      <c r="X36" s="30">
        <f t="shared" si="6"/>
        <v>0</v>
      </c>
      <c r="Y36" s="30">
        <f t="shared" si="7"/>
        <v>0</v>
      </c>
    </row>
    <row r="37" spans="1:25" x14ac:dyDescent="0.15">
      <c r="A37" s="7">
        <v>1033</v>
      </c>
      <c r="B37" s="19">
        <v>45353</v>
      </c>
      <c r="C37" s="7">
        <v>360</v>
      </c>
      <c r="D37" s="19">
        <v>45747</v>
      </c>
      <c r="E37" s="7">
        <v>12</v>
      </c>
      <c r="F37" s="29">
        <v>409095</v>
      </c>
      <c r="G37" s="29">
        <v>375761.0336812039</v>
      </c>
      <c r="H37" s="29">
        <v>421747.42268041236</v>
      </c>
      <c r="I37" s="7">
        <v>97</v>
      </c>
      <c r="J37" s="7" t="s">
        <v>74</v>
      </c>
      <c r="K37" s="7">
        <v>806</v>
      </c>
      <c r="L37" s="7">
        <v>9</v>
      </c>
      <c r="M37" s="7" t="s">
        <v>59</v>
      </c>
      <c r="N37" s="10">
        <v>7.2034008953178311E-2</v>
      </c>
      <c r="O37" s="7">
        <v>0.35</v>
      </c>
      <c r="P37" s="7">
        <v>0.43</v>
      </c>
      <c r="R37" s="30">
        <f t="shared" si="4"/>
        <v>1759.1085</v>
      </c>
      <c r="S37" s="7" t="str">
        <f t="shared" si="5"/>
        <v>&gt; 95</v>
      </c>
      <c r="T37" s="7" t="str">
        <f t="shared" si="0"/>
        <v>&gt; 800</v>
      </c>
      <c r="U37" s="31">
        <f t="shared" si="1"/>
        <v>0.05</v>
      </c>
      <c r="V37" s="30">
        <f t="shared" si="2"/>
        <v>138092.17987784243</v>
      </c>
      <c r="W37" s="30">
        <f t="shared" si="3"/>
        <v>36063.776086913596</v>
      </c>
      <c r="X37" s="30">
        <f t="shared" si="6"/>
        <v>36063.776086913596</v>
      </c>
      <c r="Y37" s="30">
        <f t="shared" si="7"/>
        <v>1803.18880434568</v>
      </c>
    </row>
    <row r="38" spans="1:25" x14ac:dyDescent="0.15">
      <c r="A38" s="7">
        <v>1034</v>
      </c>
      <c r="B38" s="19">
        <v>45389</v>
      </c>
      <c r="C38" s="7">
        <v>360</v>
      </c>
      <c r="D38" s="19">
        <v>45747</v>
      </c>
      <c r="E38" s="7">
        <v>11</v>
      </c>
      <c r="F38" s="29">
        <v>120452</v>
      </c>
      <c r="G38" s="29">
        <v>113207.22153306869</v>
      </c>
      <c r="H38" s="29">
        <v>135339.32584269662</v>
      </c>
      <c r="I38" s="7">
        <v>89</v>
      </c>
      <c r="J38" s="7" t="s">
        <v>69</v>
      </c>
      <c r="K38" s="7">
        <v>749</v>
      </c>
      <c r="L38" s="7">
        <v>7</v>
      </c>
      <c r="M38" s="7" t="s">
        <v>59</v>
      </c>
      <c r="N38" s="10">
        <v>5.1623486027893177E-2</v>
      </c>
      <c r="O38" s="7">
        <v>0.12</v>
      </c>
      <c r="P38" s="7">
        <v>0.38</v>
      </c>
      <c r="R38" s="30">
        <f t="shared" si="4"/>
        <v>457.7176</v>
      </c>
      <c r="S38" s="7" t="str">
        <f t="shared" si="5"/>
        <v>85-90</v>
      </c>
      <c r="T38" s="7" t="str">
        <f t="shared" si="0"/>
        <v>700-750</v>
      </c>
      <c r="U38" s="31">
        <f t="shared" si="1"/>
        <v>0.03</v>
      </c>
      <c r="V38" s="30">
        <f t="shared" si="2"/>
        <v>14264.109913166654</v>
      </c>
      <c r="W38" s="30">
        <f t="shared" si="3"/>
        <v>3829.1556434300001</v>
      </c>
      <c r="X38" s="30">
        <f t="shared" si="6"/>
        <v>3829.1556434300001</v>
      </c>
      <c r="Y38" s="30">
        <f t="shared" si="7"/>
        <v>114.8746693029</v>
      </c>
    </row>
    <row r="39" spans="1:25" x14ac:dyDescent="0.15">
      <c r="A39" s="7">
        <v>1035</v>
      </c>
      <c r="B39" s="19">
        <v>45414</v>
      </c>
      <c r="C39" s="7">
        <v>360</v>
      </c>
      <c r="D39" s="19">
        <v>45747</v>
      </c>
      <c r="E39" s="7">
        <v>10</v>
      </c>
      <c r="F39" s="29">
        <v>129601</v>
      </c>
      <c r="G39" s="29">
        <v>120656.77370790139</v>
      </c>
      <c r="H39" s="29">
        <v>147273.86363636365</v>
      </c>
      <c r="I39" s="7">
        <v>88</v>
      </c>
      <c r="J39" s="7" t="s">
        <v>65</v>
      </c>
      <c r="K39" s="7">
        <v>808</v>
      </c>
      <c r="L39" s="7">
        <v>36</v>
      </c>
      <c r="M39" s="7" t="s">
        <v>59</v>
      </c>
      <c r="N39" s="10">
        <v>7.367082071985194E-2</v>
      </c>
      <c r="O39" s="7">
        <v>0.12</v>
      </c>
      <c r="P39" s="7">
        <v>0.22</v>
      </c>
      <c r="R39" s="30">
        <f t="shared" si="4"/>
        <v>285.12220000000002</v>
      </c>
      <c r="S39" s="7" t="str">
        <f t="shared" si="5"/>
        <v>85-90</v>
      </c>
      <c r="T39" s="7" t="str">
        <f t="shared" si="0"/>
        <v>&gt; 800</v>
      </c>
      <c r="U39" s="31">
        <f t="shared" si="1"/>
        <v>0.01</v>
      </c>
      <c r="V39" s="30">
        <f t="shared" si="2"/>
        <v>15202.753487195576</v>
      </c>
      <c r="W39" s="30">
        <f t="shared" si="3"/>
        <v>1506.8283023873664</v>
      </c>
      <c r="X39" s="30">
        <f t="shared" si="6"/>
        <v>1506.8283023873664</v>
      </c>
      <c r="Y39" s="30">
        <f t="shared" si="7"/>
        <v>15.068283023873665</v>
      </c>
    </row>
    <row r="40" spans="1:25" x14ac:dyDescent="0.15">
      <c r="A40" s="7">
        <v>1036</v>
      </c>
      <c r="B40" s="19">
        <v>45298</v>
      </c>
      <c r="C40" s="7">
        <v>360</v>
      </c>
      <c r="D40" s="19">
        <v>45747</v>
      </c>
      <c r="E40" s="7">
        <v>14</v>
      </c>
      <c r="F40" s="29">
        <v>219019</v>
      </c>
      <c r="G40" s="29">
        <v>199645.1424615758</v>
      </c>
      <c r="H40" s="29">
        <v>257669.4117647059</v>
      </c>
      <c r="I40" s="7">
        <v>85</v>
      </c>
      <c r="J40" s="7" t="s">
        <v>73</v>
      </c>
      <c r="K40" s="7">
        <v>718</v>
      </c>
      <c r="L40" s="7">
        <v>17</v>
      </c>
      <c r="M40" s="7" t="s">
        <v>59</v>
      </c>
      <c r="N40" s="10">
        <v>6.4965138675985926E-2</v>
      </c>
      <c r="O40" s="7">
        <v>0.12</v>
      </c>
      <c r="P40" s="7">
        <v>0.44</v>
      </c>
      <c r="R40" s="30">
        <f t="shared" si="4"/>
        <v>963.68359999999996</v>
      </c>
      <c r="S40" s="7" t="str">
        <f t="shared" si="5"/>
        <v>80-85</v>
      </c>
      <c r="T40" s="7" t="str">
        <f t="shared" si="0"/>
        <v>700-750</v>
      </c>
      <c r="U40" s="31">
        <f t="shared" si="1"/>
        <v>2.5000000000000001E-2</v>
      </c>
      <c r="V40" s="30">
        <f t="shared" si="2"/>
        <v>25155.287950158552</v>
      </c>
      <c r="W40" s="30">
        <f t="shared" si="3"/>
        <v>-9391.6004153453978</v>
      </c>
      <c r="X40" s="30">
        <f t="shared" si="6"/>
        <v>0</v>
      </c>
      <c r="Y40" s="30">
        <f t="shared" si="7"/>
        <v>0</v>
      </c>
    </row>
    <row r="41" spans="1:25" x14ac:dyDescent="0.15">
      <c r="A41" s="7">
        <v>1037</v>
      </c>
      <c r="B41" s="19">
        <v>45358</v>
      </c>
      <c r="C41" s="7">
        <v>360</v>
      </c>
      <c r="D41" s="19">
        <v>45747</v>
      </c>
      <c r="E41" s="7">
        <v>12</v>
      </c>
      <c r="F41" s="29">
        <v>718113</v>
      </c>
      <c r="G41" s="29">
        <v>665281.23825371743</v>
      </c>
      <c r="H41" s="29">
        <v>763950</v>
      </c>
      <c r="I41" s="7">
        <v>94</v>
      </c>
      <c r="J41" s="7" t="s">
        <v>62</v>
      </c>
      <c r="K41" s="7">
        <v>777</v>
      </c>
      <c r="L41" s="7">
        <v>14</v>
      </c>
      <c r="M41" s="7" t="s">
        <v>59</v>
      </c>
      <c r="N41" s="10">
        <v>6.2094991945608413E-2</v>
      </c>
      <c r="O41" s="7">
        <v>0.25</v>
      </c>
      <c r="P41" s="7">
        <v>0.44</v>
      </c>
      <c r="R41" s="30">
        <f t="shared" si="4"/>
        <v>3159.6972000000005</v>
      </c>
      <c r="S41" s="7" t="str">
        <f t="shared" si="5"/>
        <v>90-95</v>
      </c>
      <c r="T41" s="7" t="str">
        <f t="shared" si="0"/>
        <v>750-800</v>
      </c>
      <c r="U41" s="31">
        <f t="shared" si="1"/>
        <v>0.05</v>
      </c>
      <c r="V41" s="30">
        <f t="shared" si="2"/>
        <v>174636.32504160082</v>
      </c>
      <c r="W41" s="30">
        <f t="shared" si="3"/>
        <v>49187.800166403293</v>
      </c>
      <c r="X41" s="30">
        <f t="shared" si="6"/>
        <v>49187.800166403293</v>
      </c>
      <c r="Y41" s="30">
        <f t="shared" si="7"/>
        <v>2459.3900083201647</v>
      </c>
    </row>
    <row r="42" spans="1:25" x14ac:dyDescent="0.15">
      <c r="A42" s="7">
        <v>1038</v>
      </c>
      <c r="B42" s="19">
        <v>45296</v>
      </c>
      <c r="C42" s="7">
        <v>360</v>
      </c>
      <c r="D42" s="19">
        <v>45747</v>
      </c>
      <c r="E42" s="7">
        <v>14</v>
      </c>
      <c r="F42" s="29">
        <v>290213</v>
      </c>
      <c r="G42" s="29">
        <v>268210.54728649254</v>
      </c>
      <c r="H42" s="29">
        <v>318915.38461538462</v>
      </c>
      <c r="I42" s="7">
        <v>91</v>
      </c>
      <c r="J42" s="7" t="s">
        <v>68</v>
      </c>
      <c r="K42" s="7">
        <v>830</v>
      </c>
      <c r="L42" s="7">
        <v>29</v>
      </c>
      <c r="M42" s="7" t="s">
        <v>59</v>
      </c>
      <c r="N42" s="10">
        <v>5.0769546230197943E-2</v>
      </c>
      <c r="O42" s="7">
        <v>0.25</v>
      </c>
      <c r="P42" s="7">
        <v>0.28999999999999998</v>
      </c>
      <c r="R42" s="30">
        <f t="shared" si="4"/>
        <v>841.6176999999999</v>
      </c>
      <c r="S42" s="7" t="str">
        <f t="shared" si="5"/>
        <v>90-95</v>
      </c>
      <c r="T42" s="7" t="str">
        <f t="shared" si="0"/>
        <v>&gt; 800</v>
      </c>
      <c r="U42" s="31">
        <f t="shared" si="1"/>
        <v>0.04</v>
      </c>
      <c r="V42" s="30">
        <f t="shared" si="2"/>
        <v>70405.2686627043</v>
      </c>
      <c r="W42" s="30">
        <f t="shared" si="3"/>
        <v>10542.997727740265</v>
      </c>
      <c r="X42" s="30">
        <f t="shared" si="6"/>
        <v>10542.997727740265</v>
      </c>
      <c r="Y42" s="30">
        <f t="shared" si="7"/>
        <v>421.71990910961063</v>
      </c>
    </row>
    <row r="43" spans="1:25" x14ac:dyDescent="0.15">
      <c r="A43" s="7">
        <v>1039</v>
      </c>
      <c r="B43" s="19">
        <v>45296</v>
      </c>
      <c r="C43" s="7">
        <v>360</v>
      </c>
      <c r="D43" s="19">
        <v>45747</v>
      </c>
      <c r="E43" s="7">
        <v>14</v>
      </c>
      <c r="F43" s="29">
        <v>347040</v>
      </c>
      <c r="G43" s="29">
        <v>315381.26538250886</v>
      </c>
      <c r="H43" s="29">
        <v>423219.51219512196</v>
      </c>
      <c r="I43" s="7">
        <v>82</v>
      </c>
      <c r="J43" s="7" t="s">
        <v>70</v>
      </c>
      <c r="K43" s="7">
        <v>759</v>
      </c>
      <c r="L43" s="7">
        <v>30</v>
      </c>
      <c r="M43" s="7" t="s">
        <v>59</v>
      </c>
      <c r="N43" s="10">
        <v>6.7952281615750468E-2</v>
      </c>
      <c r="O43" s="7">
        <v>0.12</v>
      </c>
      <c r="P43" s="7">
        <v>0.32</v>
      </c>
      <c r="R43" s="30">
        <f t="shared" si="4"/>
        <v>1110.528</v>
      </c>
      <c r="S43" s="7" t="str">
        <f t="shared" si="5"/>
        <v>80-85</v>
      </c>
      <c r="T43" s="7" t="str">
        <f t="shared" si="0"/>
        <v>750-800</v>
      </c>
      <c r="U43" s="31">
        <f t="shared" si="1"/>
        <v>0.02</v>
      </c>
      <c r="V43" s="30">
        <f t="shared" si="2"/>
        <v>39738.039438196116</v>
      </c>
      <c r="W43" s="30">
        <f t="shared" si="3"/>
        <v>-28586.256714219344</v>
      </c>
      <c r="X43" s="30">
        <f t="shared" si="6"/>
        <v>0</v>
      </c>
      <c r="Y43" s="30">
        <f t="shared" si="7"/>
        <v>0</v>
      </c>
    </row>
    <row r="44" spans="1:25" x14ac:dyDescent="0.15">
      <c r="A44" s="7">
        <v>1040</v>
      </c>
      <c r="B44" s="19">
        <v>45373</v>
      </c>
      <c r="C44" s="7">
        <v>360</v>
      </c>
      <c r="D44" s="19">
        <v>45747</v>
      </c>
      <c r="E44" s="7">
        <v>12</v>
      </c>
      <c r="F44" s="29">
        <v>271759</v>
      </c>
      <c r="G44" s="29">
        <v>247888.09377636338</v>
      </c>
      <c r="H44" s="29">
        <v>335504.93827160494</v>
      </c>
      <c r="I44" s="7">
        <v>81</v>
      </c>
      <c r="J44" s="7" t="s">
        <v>69</v>
      </c>
      <c r="K44" s="7">
        <v>665</v>
      </c>
      <c r="L44" s="7">
        <v>39</v>
      </c>
      <c r="M44" s="7" t="s">
        <v>59</v>
      </c>
      <c r="N44" s="10">
        <v>7.9744986059567757E-2</v>
      </c>
      <c r="O44" s="7">
        <v>0.12</v>
      </c>
      <c r="P44" s="7">
        <v>0.37</v>
      </c>
      <c r="R44" s="30">
        <f t="shared" si="4"/>
        <v>1005.5083</v>
      </c>
      <c r="S44" s="7" t="str">
        <f t="shared" si="5"/>
        <v>80-85</v>
      </c>
      <c r="T44" s="7" t="str">
        <f t="shared" si="0"/>
        <v>650-700</v>
      </c>
      <c r="U44" s="31">
        <f t="shared" si="1"/>
        <v>0.03</v>
      </c>
      <c r="V44" s="30">
        <f t="shared" si="2"/>
        <v>31233.899815821787</v>
      </c>
      <c r="W44" s="30">
        <f t="shared" si="3"/>
        <v>-24896.699065682653</v>
      </c>
      <c r="X44" s="30">
        <f t="shared" si="6"/>
        <v>0</v>
      </c>
      <c r="Y44" s="30">
        <f t="shared" si="7"/>
        <v>0</v>
      </c>
    </row>
    <row r="45" spans="1:25" x14ac:dyDescent="0.15">
      <c r="A45" s="7">
        <v>1041</v>
      </c>
      <c r="B45" s="19">
        <v>45388</v>
      </c>
      <c r="C45" s="7">
        <v>360</v>
      </c>
      <c r="D45" s="19">
        <v>45747</v>
      </c>
      <c r="E45" s="7">
        <v>11</v>
      </c>
      <c r="F45" s="29">
        <v>299291</v>
      </c>
      <c r="G45" s="29">
        <v>278717.84684495936</v>
      </c>
      <c r="H45" s="29">
        <v>369495.06172839506</v>
      </c>
      <c r="I45" s="7">
        <v>81</v>
      </c>
      <c r="J45" s="7" t="s">
        <v>62</v>
      </c>
      <c r="K45" s="7">
        <v>722</v>
      </c>
      <c r="L45" s="7">
        <v>6</v>
      </c>
      <c r="M45" s="7" t="s">
        <v>59</v>
      </c>
      <c r="N45" s="10">
        <v>6.390832049342586E-2</v>
      </c>
      <c r="O45" s="7">
        <v>0.12</v>
      </c>
      <c r="P45" s="7">
        <v>0.23</v>
      </c>
      <c r="R45" s="30">
        <f t="shared" si="4"/>
        <v>688.36930000000007</v>
      </c>
      <c r="S45" s="7" t="str">
        <f t="shared" si="5"/>
        <v>80-85</v>
      </c>
      <c r="T45" s="7" t="str">
        <f t="shared" si="0"/>
        <v>700-750</v>
      </c>
      <c r="U45" s="31">
        <f t="shared" si="1"/>
        <v>2.5000000000000001E-2</v>
      </c>
      <c r="V45" s="30">
        <f t="shared" si="2"/>
        <v>35118.448702464884</v>
      </c>
      <c r="W45" s="30">
        <f t="shared" si="3"/>
        <v>-21417.063281928422</v>
      </c>
      <c r="X45" s="30">
        <f t="shared" si="6"/>
        <v>0</v>
      </c>
      <c r="Y45" s="30">
        <f t="shared" si="7"/>
        <v>0</v>
      </c>
    </row>
    <row r="46" spans="1:25" x14ac:dyDescent="0.15">
      <c r="A46" s="7">
        <v>1042</v>
      </c>
      <c r="B46" s="19">
        <v>45473</v>
      </c>
      <c r="C46" s="7">
        <v>360</v>
      </c>
      <c r="D46" s="19">
        <v>45747</v>
      </c>
      <c r="E46" s="7">
        <v>9</v>
      </c>
      <c r="F46" s="29">
        <v>536109</v>
      </c>
      <c r="G46" s="29">
        <v>505649.25683179172</v>
      </c>
      <c r="H46" s="29">
        <v>564325.26315789472</v>
      </c>
      <c r="I46" s="7">
        <v>95</v>
      </c>
      <c r="J46" s="7" t="s">
        <v>69</v>
      </c>
      <c r="K46" s="7">
        <v>676</v>
      </c>
      <c r="L46" s="7">
        <v>33</v>
      </c>
      <c r="M46" s="7" t="s">
        <v>59</v>
      </c>
      <c r="N46" s="10">
        <v>6.4882046297341442E-2</v>
      </c>
      <c r="O46" s="7">
        <v>0.3</v>
      </c>
      <c r="P46" s="7">
        <v>0.33</v>
      </c>
      <c r="R46" s="30">
        <f t="shared" si="4"/>
        <v>1769.1596999999999</v>
      </c>
      <c r="S46" s="7" t="str">
        <f t="shared" si="5"/>
        <v>90-95</v>
      </c>
      <c r="T46" s="7" t="str">
        <f t="shared" si="0"/>
        <v>650-700</v>
      </c>
      <c r="U46" s="31">
        <f t="shared" si="1"/>
        <v>7.0000000000000007E-2</v>
      </c>
      <c r="V46" s="30">
        <f t="shared" si="2"/>
        <v>159279.51590201439</v>
      </c>
      <c r="W46" s="30">
        <f t="shared" si="3"/>
        <v>51255.245989170799</v>
      </c>
      <c r="X46" s="30">
        <f t="shared" si="6"/>
        <v>51255.245989170799</v>
      </c>
      <c r="Y46" s="30">
        <f t="shared" si="7"/>
        <v>3587.8672192419563</v>
      </c>
    </row>
    <row r="47" spans="1:25" x14ac:dyDescent="0.15">
      <c r="A47" s="7">
        <v>1043</v>
      </c>
      <c r="B47" s="19">
        <v>45360</v>
      </c>
      <c r="C47" s="7">
        <v>360</v>
      </c>
      <c r="D47" s="19">
        <v>45747</v>
      </c>
      <c r="E47" s="7">
        <v>12</v>
      </c>
      <c r="F47" s="29">
        <v>171568</v>
      </c>
      <c r="G47" s="29">
        <v>157888.90006860811</v>
      </c>
      <c r="H47" s="29">
        <v>206708.43373493978</v>
      </c>
      <c r="I47" s="7">
        <v>83</v>
      </c>
      <c r="J47" s="7" t="s">
        <v>73</v>
      </c>
      <c r="K47" s="7">
        <v>601</v>
      </c>
      <c r="L47" s="7">
        <v>5</v>
      </c>
      <c r="M47" s="7" t="s">
        <v>59</v>
      </c>
      <c r="N47" s="10">
        <v>6.9867945062026815E-2</v>
      </c>
      <c r="O47" s="7">
        <v>0.12</v>
      </c>
      <c r="P47" s="7">
        <v>0.2</v>
      </c>
      <c r="R47" s="30">
        <f t="shared" si="4"/>
        <v>343.13599999999997</v>
      </c>
      <c r="S47" s="7" t="str">
        <f t="shared" si="5"/>
        <v>80-85</v>
      </c>
      <c r="T47" s="7" t="str">
        <f t="shared" si="0"/>
        <v>&lt; 650</v>
      </c>
      <c r="U47" s="31">
        <f t="shared" si="1"/>
        <v>0.04</v>
      </c>
      <c r="V47" s="30">
        <f t="shared" si="2"/>
        <v>19894.001408644624</v>
      </c>
      <c r="W47" s="30">
        <f t="shared" si="3"/>
        <v>-9918.8236026602681</v>
      </c>
      <c r="X47" s="30">
        <f t="shared" si="6"/>
        <v>0</v>
      </c>
      <c r="Y47" s="30">
        <f t="shared" si="7"/>
        <v>0</v>
      </c>
    </row>
    <row r="48" spans="1:25" x14ac:dyDescent="0.15">
      <c r="A48" s="7">
        <v>1044</v>
      </c>
      <c r="B48" s="19">
        <v>45330</v>
      </c>
      <c r="C48" s="7">
        <v>360</v>
      </c>
      <c r="D48" s="19">
        <v>45747</v>
      </c>
      <c r="E48" s="7">
        <v>13</v>
      </c>
      <c r="F48" s="29">
        <v>554294</v>
      </c>
      <c r="G48" s="29">
        <v>507656.39678729762</v>
      </c>
      <c r="H48" s="29">
        <v>583467.3684210527</v>
      </c>
      <c r="I48" s="7">
        <v>95</v>
      </c>
      <c r="J48" s="7" t="s">
        <v>73</v>
      </c>
      <c r="K48" s="7">
        <v>830</v>
      </c>
      <c r="L48" s="7">
        <v>1</v>
      </c>
      <c r="M48" s="7" t="s">
        <v>59</v>
      </c>
      <c r="N48" s="10">
        <v>6.7292762019609931E-2</v>
      </c>
      <c r="O48" s="7">
        <v>0.3</v>
      </c>
      <c r="P48" s="7">
        <v>0.28999999999999998</v>
      </c>
      <c r="R48" s="30">
        <f t="shared" si="4"/>
        <v>1607.4525999999998</v>
      </c>
      <c r="S48" s="7" t="str">
        <f t="shared" si="5"/>
        <v>90-95</v>
      </c>
      <c r="T48" s="7" t="str">
        <f t="shared" si="0"/>
        <v>&gt; 800</v>
      </c>
      <c r="U48" s="31">
        <f t="shared" si="1"/>
        <v>0.04</v>
      </c>
      <c r="V48" s="30">
        <f t="shared" si="2"/>
        <v>159911.76498799876</v>
      </c>
      <c r="W48" s="30">
        <f t="shared" si="3"/>
        <v>37091.953468767751</v>
      </c>
      <c r="X48" s="30">
        <f t="shared" si="6"/>
        <v>37091.953468767751</v>
      </c>
      <c r="Y48" s="30">
        <f t="shared" si="7"/>
        <v>1483.6781387507101</v>
      </c>
    </row>
    <row r="49" spans="1:25" x14ac:dyDescent="0.15">
      <c r="A49" s="7">
        <v>1045</v>
      </c>
      <c r="B49" s="19">
        <v>45340</v>
      </c>
      <c r="C49" s="7">
        <v>360</v>
      </c>
      <c r="D49" s="19">
        <v>45747</v>
      </c>
      <c r="E49" s="7">
        <v>13</v>
      </c>
      <c r="F49" s="29">
        <v>219261</v>
      </c>
      <c r="G49" s="29">
        <v>199173.61560731253</v>
      </c>
      <c r="H49" s="29">
        <v>246360.67415730338</v>
      </c>
      <c r="I49" s="7">
        <v>89</v>
      </c>
      <c r="J49" s="7" t="s">
        <v>74</v>
      </c>
      <c r="K49" s="7">
        <v>814</v>
      </c>
      <c r="L49" s="7">
        <v>39</v>
      </c>
      <c r="M49" s="7" t="s">
        <v>59</v>
      </c>
      <c r="N49" s="10">
        <v>7.5803299657525136E-2</v>
      </c>
      <c r="O49" s="7">
        <v>0.12</v>
      </c>
      <c r="P49" s="7">
        <v>0.45</v>
      </c>
      <c r="R49" s="30">
        <f t="shared" si="4"/>
        <v>986.67449999999997</v>
      </c>
      <c r="S49" s="7" t="str">
        <f t="shared" si="5"/>
        <v>85-90</v>
      </c>
      <c r="T49" s="7" t="str">
        <f t="shared" si="0"/>
        <v>&gt; 800</v>
      </c>
      <c r="U49" s="31">
        <f t="shared" si="1"/>
        <v>0.01</v>
      </c>
      <c r="V49" s="30">
        <f t="shared" si="2"/>
        <v>25095.875566521379</v>
      </c>
      <c r="W49" s="30">
        <f t="shared" si="3"/>
        <v>-274.2766460296989</v>
      </c>
      <c r="X49" s="30">
        <f t="shared" si="6"/>
        <v>0</v>
      </c>
      <c r="Y49" s="30">
        <f t="shared" si="7"/>
        <v>0</v>
      </c>
    </row>
    <row r="50" spans="1:25" x14ac:dyDescent="0.15">
      <c r="A50" s="7">
        <v>1046</v>
      </c>
      <c r="B50" s="19">
        <v>45379</v>
      </c>
      <c r="C50" s="7">
        <v>360</v>
      </c>
      <c r="D50" s="19">
        <v>45747</v>
      </c>
      <c r="E50" s="7">
        <v>12</v>
      </c>
      <c r="F50" s="29">
        <v>332530</v>
      </c>
      <c r="G50" s="29">
        <v>304316.88626526896</v>
      </c>
      <c r="H50" s="29">
        <v>377875</v>
      </c>
      <c r="I50" s="7">
        <v>88</v>
      </c>
      <c r="J50" s="7" t="s">
        <v>71</v>
      </c>
      <c r="K50" s="7">
        <v>689</v>
      </c>
      <c r="L50" s="7">
        <v>23</v>
      </c>
      <c r="M50" s="7" t="s">
        <v>59</v>
      </c>
      <c r="N50" s="10">
        <v>7.6139214848455858E-2</v>
      </c>
      <c r="O50" s="7">
        <v>0.12</v>
      </c>
      <c r="P50" s="7">
        <v>0.42</v>
      </c>
      <c r="R50" s="30">
        <f t="shared" si="4"/>
        <v>1396.626</v>
      </c>
      <c r="S50" s="7" t="str">
        <f t="shared" si="5"/>
        <v>85-90</v>
      </c>
      <c r="T50" s="7" t="str">
        <f t="shared" si="0"/>
        <v>650-700</v>
      </c>
      <c r="U50" s="31">
        <f t="shared" si="1"/>
        <v>0.04</v>
      </c>
      <c r="V50" s="30">
        <f t="shared" si="2"/>
        <v>38343.927669423894</v>
      </c>
      <c r="W50" s="30">
        <f t="shared" si="3"/>
        <v>-1661.0194214675575</v>
      </c>
      <c r="X50" s="30">
        <f t="shared" si="6"/>
        <v>0</v>
      </c>
      <c r="Y50" s="30">
        <f t="shared" si="7"/>
        <v>0</v>
      </c>
    </row>
    <row r="51" spans="1:25" x14ac:dyDescent="0.15">
      <c r="A51" s="7">
        <v>1047</v>
      </c>
      <c r="B51" s="19">
        <v>45393</v>
      </c>
      <c r="C51" s="7">
        <v>360</v>
      </c>
      <c r="D51" s="19">
        <v>45747</v>
      </c>
      <c r="E51" s="7">
        <v>11</v>
      </c>
      <c r="F51" s="29">
        <v>492721</v>
      </c>
      <c r="G51" s="29">
        <v>462984.93376770685</v>
      </c>
      <c r="H51" s="29">
        <v>518653.68421052635</v>
      </c>
      <c r="I51" s="7">
        <v>95</v>
      </c>
      <c r="J51" s="7" t="s">
        <v>74</v>
      </c>
      <c r="K51" s="7">
        <v>734</v>
      </c>
      <c r="L51" s="7">
        <v>38</v>
      </c>
      <c r="M51" s="7" t="s">
        <v>59</v>
      </c>
      <c r="N51" s="10">
        <v>5.1924227806760398E-2</v>
      </c>
      <c r="O51" s="7">
        <v>0.3</v>
      </c>
      <c r="P51" s="7">
        <v>0.36</v>
      </c>
      <c r="R51" s="30">
        <f t="shared" si="4"/>
        <v>1773.7955999999999</v>
      </c>
      <c r="S51" s="7" t="str">
        <f t="shared" si="5"/>
        <v>90-95</v>
      </c>
      <c r="T51" s="7" t="str">
        <f t="shared" si="0"/>
        <v>700-750</v>
      </c>
      <c r="U51" s="31">
        <f t="shared" si="1"/>
        <v>0.06</v>
      </c>
      <c r="V51" s="30">
        <f t="shared" si="2"/>
        <v>145840.25413682766</v>
      </c>
      <c r="W51" s="30">
        <f t="shared" si="3"/>
        <v>45278.548877144873</v>
      </c>
      <c r="X51" s="30">
        <f t="shared" si="6"/>
        <v>45278.548877144873</v>
      </c>
      <c r="Y51" s="30">
        <f t="shared" si="7"/>
        <v>2716.7129326286922</v>
      </c>
    </row>
    <row r="52" spans="1:25" x14ac:dyDescent="0.15">
      <c r="A52" s="7">
        <v>1048</v>
      </c>
      <c r="B52" s="19">
        <v>45386</v>
      </c>
      <c r="C52" s="7">
        <v>360</v>
      </c>
      <c r="D52" s="19">
        <v>45747</v>
      </c>
      <c r="E52" s="7">
        <v>11</v>
      </c>
      <c r="F52" s="29">
        <v>169639</v>
      </c>
      <c r="G52" s="29">
        <v>159281.43664280977</v>
      </c>
      <c r="H52" s="29">
        <v>186416.48351648351</v>
      </c>
      <c r="I52" s="7">
        <v>91</v>
      </c>
      <c r="J52" s="7" t="s">
        <v>63</v>
      </c>
      <c r="K52" s="7">
        <v>821</v>
      </c>
      <c r="L52" s="7">
        <v>48</v>
      </c>
      <c r="M52" s="7" t="s">
        <v>59</v>
      </c>
      <c r="N52" s="10">
        <v>5.296045091624383E-2</v>
      </c>
      <c r="O52" s="7">
        <v>0.25</v>
      </c>
      <c r="P52" s="7">
        <v>0.44</v>
      </c>
      <c r="R52" s="30">
        <f t="shared" si="4"/>
        <v>746.41160000000002</v>
      </c>
      <c r="S52" s="7" t="str">
        <f t="shared" si="5"/>
        <v>90-95</v>
      </c>
      <c r="T52" s="7" t="str">
        <f t="shared" si="0"/>
        <v>&gt; 800</v>
      </c>
      <c r="U52" s="31">
        <f t="shared" si="1"/>
        <v>0.04</v>
      </c>
      <c r="V52" s="30">
        <f t="shared" si="2"/>
        <v>41811.377118737568</v>
      </c>
      <c r="W52" s="30">
        <f t="shared" si="3"/>
        <v>8791.4974859392969</v>
      </c>
      <c r="X52" s="30">
        <f t="shared" si="6"/>
        <v>8791.4974859392969</v>
      </c>
      <c r="Y52" s="30">
        <f t="shared" si="7"/>
        <v>351.65989943757188</v>
      </c>
    </row>
    <row r="53" spans="1:25" x14ac:dyDescent="0.15">
      <c r="A53" s="7">
        <v>1049</v>
      </c>
      <c r="B53" s="19">
        <v>45296</v>
      </c>
      <c r="C53" s="7">
        <v>360</v>
      </c>
      <c r="D53" s="19">
        <v>45747</v>
      </c>
      <c r="E53" s="7">
        <v>14</v>
      </c>
      <c r="F53" s="29">
        <v>448983</v>
      </c>
      <c r="G53" s="29">
        <v>408946.8203907315</v>
      </c>
      <c r="H53" s="29">
        <v>498870</v>
      </c>
      <c r="I53" s="7">
        <v>90</v>
      </c>
      <c r="J53" s="7" t="s">
        <v>71</v>
      </c>
      <c r="K53" s="7">
        <v>616</v>
      </c>
      <c r="L53" s="7">
        <v>11</v>
      </c>
      <c r="M53" s="7" t="s">
        <v>59</v>
      </c>
      <c r="N53" s="10">
        <v>6.573877473959365E-2</v>
      </c>
      <c r="O53" s="7">
        <v>0.25</v>
      </c>
      <c r="P53" s="7">
        <v>0.44</v>
      </c>
      <c r="R53" s="30">
        <f t="shared" si="4"/>
        <v>1975.5251999999998</v>
      </c>
      <c r="S53" s="7" t="str">
        <f t="shared" si="5"/>
        <v>85-90</v>
      </c>
      <c r="T53" s="7" t="str">
        <f t="shared" si="0"/>
        <v>&lt; 650</v>
      </c>
      <c r="U53" s="31">
        <f t="shared" si="1"/>
        <v>0.05</v>
      </c>
      <c r="V53" s="30">
        <f t="shared" si="2"/>
        <v>107348.54035256703</v>
      </c>
      <c r="W53" s="30">
        <f t="shared" si="3"/>
        <v>5354.6614102681051</v>
      </c>
      <c r="X53" s="30">
        <f t="shared" si="6"/>
        <v>5354.6614102681051</v>
      </c>
      <c r="Y53" s="30">
        <f t="shared" si="7"/>
        <v>267.73307051340527</v>
      </c>
    </row>
    <row r="54" spans="1:25" x14ac:dyDescent="0.15">
      <c r="A54" s="7">
        <v>1050</v>
      </c>
      <c r="B54" s="19">
        <v>45446</v>
      </c>
      <c r="C54" s="7">
        <v>360</v>
      </c>
      <c r="D54" s="19">
        <v>45747</v>
      </c>
      <c r="E54" s="7">
        <v>9</v>
      </c>
      <c r="F54" s="29">
        <v>153913</v>
      </c>
      <c r="G54" s="29">
        <v>146457.30181197761</v>
      </c>
      <c r="H54" s="29">
        <v>178968.60465116278</v>
      </c>
      <c r="I54" s="7">
        <v>86</v>
      </c>
      <c r="J54" s="7" t="s">
        <v>71</v>
      </c>
      <c r="K54" s="7">
        <v>745</v>
      </c>
      <c r="L54" s="7">
        <v>23</v>
      </c>
      <c r="M54" s="7" t="s">
        <v>59</v>
      </c>
      <c r="N54" s="10">
        <v>5.0230827720862237E-2</v>
      </c>
      <c r="O54" s="7">
        <v>0.12</v>
      </c>
      <c r="P54" s="7">
        <v>0.33</v>
      </c>
      <c r="R54" s="30">
        <f t="shared" si="4"/>
        <v>507.91290000000004</v>
      </c>
      <c r="S54" s="7" t="str">
        <f t="shared" si="5"/>
        <v>85-90</v>
      </c>
      <c r="T54" s="7" t="str">
        <f t="shared" si="0"/>
        <v>700-750</v>
      </c>
      <c r="U54" s="31">
        <f t="shared" si="1"/>
        <v>0.03</v>
      </c>
      <c r="V54" s="30">
        <f t="shared" si="2"/>
        <v>18453.620028309178</v>
      </c>
      <c r="W54" s="30">
        <f t="shared" si="3"/>
        <v>1656.8529490881192</v>
      </c>
      <c r="X54" s="30">
        <f t="shared" si="6"/>
        <v>1656.8529490881192</v>
      </c>
      <c r="Y54" s="30">
        <f t="shared" si="7"/>
        <v>49.705588472643576</v>
      </c>
    </row>
    <row r="55" spans="1:25" x14ac:dyDescent="0.15">
      <c r="A55" s="7">
        <v>1051</v>
      </c>
      <c r="B55" s="19">
        <v>45301</v>
      </c>
      <c r="C55" s="7">
        <v>360</v>
      </c>
      <c r="D55" s="19">
        <v>45747</v>
      </c>
      <c r="E55" s="7">
        <v>14</v>
      </c>
      <c r="F55" s="29">
        <v>788017</v>
      </c>
      <c r="G55" s="29">
        <v>713578.04787041072</v>
      </c>
      <c r="H55" s="29">
        <v>916298.83720930235</v>
      </c>
      <c r="I55" s="7">
        <v>86</v>
      </c>
      <c r="J55" s="7" t="s">
        <v>66</v>
      </c>
      <c r="K55" s="7">
        <v>696</v>
      </c>
      <c r="L55" s="7">
        <v>39</v>
      </c>
      <c r="M55" s="7" t="s">
        <v>59</v>
      </c>
      <c r="N55" s="10">
        <v>7.1401333198114911E-2</v>
      </c>
      <c r="O55" s="7">
        <v>0.12</v>
      </c>
      <c r="P55" s="7">
        <v>0.34</v>
      </c>
      <c r="R55" s="30">
        <f t="shared" si="4"/>
        <v>2679.2578000000003</v>
      </c>
      <c r="S55" s="7" t="str">
        <f t="shared" si="5"/>
        <v>85-90</v>
      </c>
      <c r="T55" s="7" t="str">
        <f t="shared" si="0"/>
        <v>650-700</v>
      </c>
      <c r="U55" s="31">
        <f t="shared" si="1"/>
        <v>0.04</v>
      </c>
      <c r="V55" s="30">
        <f t="shared" si="2"/>
        <v>89910.834031671751</v>
      </c>
      <c r="W55" s="30">
        <f t="shared" si="3"/>
        <v>-29597.061363975634</v>
      </c>
      <c r="X55" s="30">
        <f t="shared" si="6"/>
        <v>0</v>
      </c>
      <c r="Y55" s="30">
        <f t="shared" si="7"/>
        <v>0</v>
      </c>
    </row>
    <row r="56" spans="1:25" x14ac:dyDescent="0.15">
      <c r="A56" s="7">
        <v>1052</v>
      </c>
      <c r="B56" s="19">
        <v>45298</v>
      </c>
      <c r="C56" s="7">
        <v>360</v>
      </c>
      <c r="D56" s="19">
        <v>45747</v>
      </c>
      <c r="E56" s="7">
        <v>14</v>
      </c>
      <c r="F56" s="29">
        <v>628862</v>
      </c>
      <c r="G56" s="29">
        <v>564983.22028791357</v>
      </c>
      <c r="H56" s="29">
        <v>786077.5</v>
      </c>
      <c r="I56" s="7">
        <v>80</v>
      </c>
      <c r="J56" s="7" t="s">
        <v>71</v>
      </c>
      <c r="K56" s="7">
        <v>620</v>
      </c>
      <c r="L56" s="7">
        <v>38</v>
      </c>
      <c r="M56" s="7" t="s">
        <v>59</v>
      </c>
      <c r="N56" s="10">
        <v>7.8820647412806047E-2</v>
      </c>
      <c r="O56" s="7">
        <v>0.12</v>
      </c>
      <c r="P56" s="7">
        <v>0.39</v>
      </c>
      <c r="R56" s="30">
        <f t="shared" si="4"/>
        <v>2452.5618000000004</v>
      </c>
      <c r="S56" s="7" t="str">
        <f t="shared" si="5"/>
        <v>80-85</v>
      </c>
      <c r="T56" s="7" t="str">
        <f t="shared" si="0"/>
        <v>&lt; 650</v>
      </c>
      <c r="U56" s="31">
        <f t="shared" si="1"/>
        <v>0.04</v>
      </c>
      <c r="V56" s="30">
        <f t="shared" si="2"/>
        <v>71187.885756277101</v>
      </c>
      <c r="W56" s="30">
        <f t="shared" si="3"/>
        <v>-74933.493697690777</v>
      </c>
      <c r="X56" s="30">
        <f t="shared" si="6"/>
        <v>0</v>
      </c>
      <c r="Y56" s="30">
        <f t="shared" si="7"/>
        <v>0</v>
      </c>
    </row>
    <row r="57" spans="1:25" x14ac:dyDescent="0.15">
      <c r="A57" s="7">
        <v>1053</v>
      </c>
      <c r="B57" s="19">
        <v>45426</v>
      </c>
      <c r="C57" s="7">
        <v>360</v>
      </c>
      <c r="D57" s="19">
        <v>45747</v>
      </c>
      <c r="E57" s="7">
        <v>10</v>
      </c>
      <c r="F57" s="29">
        <v>617094</v>
      </c>
      <c r="G57" s="29">
        <v>582739.95846819226</v>
      </c>
      <c r="H57" s="29">
        <v>670754.34782608692</v>
      </c>
      <c r="I57" s="7">
        <v>92</v>
      </c>
      <c r="J57" s="7" t="s">
        <v>69</v>
      </c>
      <c r="K57" s="7">
        <v>639</v>
      </c>
      <c r="L57" s="7">
        <v>22</v>
      </c>
      <c r="M57" s="7" t="s">
        <v>59</v>
      </c>
      <c r="N57" s="10">
        <v>5.3225653075694358E-2</v>
      </c>
      <c r="O57" s="7">
        <v>0.25</v>
      </c>
      <c r="P57" s="7">
        <v>0.39</v>
      </c>
      <c r="R57" s="30">
        <f t="shared" si="4"/>
        <v>2406.6666</v>
      </c>
      <c r="S57" s="7" t="str">
        <f t="shared" si="5"/>
        <v>90-95</v>
      </c>
      <c r="T57" s="7" t="str">
        <f t="shared" si="0"/>
        <v>&lt; 650</v>
      </c>
      <c r="U57" s="31">
        <f t="shared" si="1"/>
        <v>0.08</v>
      </c>
      <c r="V57" s="30">
        <f t="shared" si="2"/>
        <v>152969.23909790048</v>
      </c>
      <c r="W57" s="30">
        <f t="shared" si="3"/>
        <v>41735.760739428108</v>
      </c>
      <c r="X57" s="30">
        <f t="shared" si="6"/>
        <v>41735.760739428108</v>
      </c>
      <c r="Y57" s="30">
        <f t="shared" si="7"/>
        <v>3338.8608591542488</v>
      </c>
    </row>
    <row r="58" spans="1:25" x14ac:dyDescent="0.15">
      <c r="A58" s="7">
        <v>1054</v>
      </c>
      <c r="B58" s="19">
        <v>45450</v>
      </c>
      <c r="C58" s="7">
        <v>360</v>
      </c>
      <c r="D58" s="19">
        <v>45747</v>
      </c>
      <c r="E58" s="7">
        <v>9</v>
      </c>
      <c r="F58" s="29">
        <v>348927</v>
      </c>
      <c r="G58" s="29">
        <v>330422.97705963533</v>
      </c>
      <c r="H58" s="29">
        <v>392052.80898876407</v>
      </c>
      <c r="I58" s="7">
        <v>89</v>
      </c>
      <c r="J58" s="7" t="s">
        <v>70</v>
      </c>
      <c r="K58" s="7">
        <v>757</v>
      </c>
      <c r="L58" s="7">
        <v>2</v>
      </c>
      <c r="M58" s="7" t="s">
        <v>59</v>
      </c>
      <c r="N58" s="10">
        <v>5.8389497028983717E-2</v>
      </c>
      <c r="O58" s="7">
        <v>0.12</v>
      </c>
      <c r="P58" s="7">
        <v>0.24</v>
      </c>
      <c r="R58" s="30">
        <f t="shared" si="4"/>
        <v>837.4248</v>
      </c>
      <c r="S58" s="7" t="str">
        <f t="shared" si="5"/>
        <v>85-90</v>
      </c>
      <c r="T58" s="7" t="str">
        <f t="shared" si="0"/>
        <v>750-800</v>
      </c>
      <c r="U58" s="31">
        <f t="shared" si="1"/>
        <v>0.02</v>
      </c>
      <c r="V58" s="30">
        <f t="shared" si="2"/>
        <v>41633.295109514052</v>
      </c>
      <c r="W58" s="30">
        <f t="shared" si="3"/>
        <v>13699.238272167684</v>
      </c>
      <c r="X58" s="30">
        <f t="shared" si="6"/>
        <v>13699.238272167684</v>
      </c>
      <c r="Y58" s="30">
        <f t="shared" si="7"/>
        <v>273.98476544335369</v>
      </c>
    </row>
    <row r="59" spans="1:25" x14ac:dyDescent="0.15">
      <c r="A59" s="7">
        <v>1055</v>
      </c>
      <c r="B59" s="19">
        <v>45326</v>
      </c>
      <c r="C59" s="7">
        <v>360</v>
      </c>
      <c r="D59" s="19">
        <v>45747</v>
      </c>
      <c r="E59" s="7">
        <v>13</v>
      </c>
      <c r="F59" s="29">
        <v>492806</v>
      </c>
      <c r="G59" s="29">
        <v>455098.03643355682</v>
      </c>
      <c r="H59" s="29">
        <v>600982.92682926834</v>
      </c>
      <c r="I59" s="7">
        <v>82</v>
      </c>
      <c r="J59" s="7" t="s">
        <v>70</v>
      </c>
      <c r="K59" s="7">
        <v>639</v>
      </c>
      <c r="L59" s="7">
        <v>11</v>
      </c>
      <c r="M59" s="7" t="s">
        <v>59</v>
      </c>
      <c r="N59" s="10">
        <v>5.8288445265483046E-2</v>
      </c>
      <c r="O59" s="7">
        <v>0.12</v>
      </c>
      <c r="P59" s="7">
        <v>0.26</v>
      </c>
      <c r="R59" s="30">
        <f t="shared" si="4"/>
        <v>1281.2955999999999</v>
      </c>
      <c r="S59" s="7" t="str">
        <f t="shared" si="5"/>
        <v>80-85</v>
      </c>
      <c r="T59" s="7" t="str">
        <f t="shared" si="0"/>
        <v>&lt; 650</v>
      </c>
      <c r="U59" s="31">
        <f t="shared" si="1"/>
        <v>0.04</v>
      </c>
      <c r="V59" s="30">
        <f t="shared" si="2"/>
        <v>57342.352590628157</v>
      </c>
      <c r="W59" s="30">
        <f t="shared" si="3"/>
        <v>-32982.549549643416</v>
      </c>
      <c r="X59" s="30">
        <f t="shared" si="6"/>
        <v>0</v>
      </c>
      <c r="Y59" s="30">
        <f t="shared" si="7"/>
        <v>0</v>
      </c>
    </row>
    <row r="60" spans="1:25" x14ac:dyDescent="0.15">
      <c r="A60" s="7">
        <v>1056</v>
      </c>
      <c r="B60" s="19">
        <v>45427</v>
      </c>
      <c r="C60" s="7">
        <v>360</v>
      </c>
      <c r="D60" s="19">
        <v>45747</v>
      </c>
      <c r="E60" s="7">
        <v>10</v>
      </c>
      <c r="F60" s="29">
        <v>757974</v>
      </c>
      <c r="G60" s="29">
        <v>713601.14512453659</v>
      </c>
      <c r="H60" s="29">
        <v>913221.68674698798</v>
      </c>
      <c r="I60" s="7">
        <v>83</v>
      </c>
      <c r="J60" s="7" t="s">
        <v>68</v>
      </c>
      <c r="K60" s="7">
        <v>666</v>
      </c>
      <c r="L60" s="7">
        <v>23</v>
      </c>
      <c r="M60" s="7" t="s">
        <v>59</v>
      </c>
      <c r="N60" s="10">
        <v>5.7789610789238825E-2</v>
      </c>
      <c r="O60" s="7">
        <v>0.12</v>
      </c>
      <c r="P60" s="7">
        <v>0.41</v>
      </c>
      <c r="R60" s="30">
        <f t="shared" si="4"/>
        <v>3107.6933999999997</v>
      </c>
      <c r="S60" s="7" t="str">
        <f t="shared" si="5"/>
        <v>80-85</v>
      </c>
      <c r="T60" s="7" t="str">
        <f t="shared" si="0"/>
        <v>650-700</v>
      </c>
      <c r="U60" s="31">
        <f t="shared" si="1"/>
        <v>0.03</v>
      </c>
      <c r="V60" s="30">
        <f t="shared" si="2"/>
        <v>89913.744285691617</v>
      </c>
      <c r="W60" s="30">
        <f t="shared" si="3"/>
        <v>-26957.2313541763</v>
      </c>
      <c r="X60" s="30">
        <f t="shared" si="6"/>
        <v>0</v>
      </c>
      <c r="Y60" s="30">
        <f t="shared" si="7"/>
        <v>0</v>
      </c>
    </row>
    <row r="61" spans="1:25" x14ac:dyDescent="0.15">
      <c r="A61" s="7">
        <v>1057</v>
      </c>
      <c r="B61" s="19">
        <v>45428</v>
      </c>
      <c r="C61" s="7">
        <v>360</v>
      </c>
      <c r="D61" s="19">
        <v>45747</v>
      </c>
      <c r="E61" s="7">
        <v>10</v>
      </c>
      <c r="F61" s="29">
        <v>157121</v>
      </c>
      <c r="G61" s="29">
        <v>145714.88176440346</v>
      </c>
      <c r="H61" s="29">
        <v>172660.43956043955</v>
      </c>
      <c r="I61" s="7">
        <v>91</v>
      </c>
      <c r="J61" s="7" t="s">
        <v>73</v>
      </c>
      <c r="K61" s="7">
        <v>826</v>
      </c>
      <c r="L61" s="7">
        <v>13</v>
      </c>
      <c r="M61" s="7" t="s">
        <v>59</v>
      </c>
      <c r="N61" s="10">
        <v>7.8876101834963852E-2</v>
      </c>
      <c r="O61" s="7">
        <v>0.25</v>
      </c>
      <c r="P61" s="7">
        <v>0.22</v>
      </c>
      <c r="R61" s="30">
        <f t="shared" si="4"/>
        <v>345.6662</v>
      </c>
      <c r="S61" s="7" t="str">
        <f t="shared" si="5"/>
        <v>90-95</v>
      </c>
      <c r="T61" s="7" t="str">
        <f t="shared" si="0"/>
        <v>&gt; 800</v>
      </c>
      <c r="U61" s="31">
        <f t="shared" si="1"/>
        <v>0.04</v>
      </c>
      <c r="V61" s="30">
        <f t="shared" si="2"/>
        <v>38250.156463155909</v>
      </c>
      <c r="W61" s="30">
        <f t="shared" si="3"/>
        <v>6239.2522262500133</v>
      </c>
      <c r="X61" s="30">
        <f t="shared" si="6"/>
        <v>6239.2522262500133</v>
      </c>
      <c r="Y61" s="30">
        <f t="shared" si="7"/>
        <v>249.57008905000055</v>
      </c>
    </row>
    <row r="62" spans="1:25" x14ac:dyDescent="0.15">
      <c r="A62" s="7">
        <v>1058</v>
      </c>
      <c r="B62" s="19">
        <v>45292</v>
      </c>
      <c r="C62" s="7">
        <v>360</v>
      </c>
      <c r="D62" s="19">
        <v>45747</v>
      </c>
      <c r="E62" s="7">
        <v>14</v>
      </c>
      <c r="F62" s="29">
        <v>132775</v>
      </c>
      <c r="G62" s="29">
        <v>122340.20112742115</v>
      </c>
      <c r="H62" s="29">
        <v>156205.88235294117</v>
      </c>
      <c r="I62" s="7">
        <v>85</v>
      </c>
      <c r="J62" s="7" t="s">
        <v>70</v>
      </c>
      <c r="K62" s="7">
        <v>845</v>
      </c>
      <c r="L62" s="7">
        <v>10</v>
      </c>
      <c r="M62" s="7" t="s">
        <v>59</v>
      </c>
      <c r="N62" s="10">
        <v>5.3972279740447091E-2</v>
      </c>
      <c r="O62" s="7">
        <v>0.12</v>
      </c>
      <c r="P62" s="7">
        <v>0.4</v>
      </c>
      <c r="R62" s="30">
        <f t="shared" si="4"/>
        <v>531.1</v>
      </c>
      <c r="S62" s="7" t="str">
        <f t="shared" si="5"/>
        <v>80-85</v>
      </c>
      <c r="T62" s="7" t="str">
        <f t="shared" si="0"/>
        <v>&gt; 800</v>
      </c>
      <c r="U62" s="31">
        <f t="shared" si="1"/>
        <v>0.01</v>
      </c>
      <c r="V62" s="30">
        <f t="shared" si="2"/>
        <v>15414.865342055065</v>
      </c>
      <c r="W62" s="30">
        <f t="shared" si="3"/>
        <v>-4317.788816207787</v>
      </c>
      <c r="X62" s="30">
        <f t="shared" si="6"/>
        <v>0</v>
      </c>
      <c r="Y62" s="30">
        <f t="shared" si="7"/>
        <v>0</v>
      </c>
    </row>
    <row r="63" spans="1:25" x14ac:dyDescent="0.15">
      <c r="A63" s="7">
        <v>1059</v>
      </c>
      <c r="B63" s="19">
        <v>45301</v>
      </c>
      <c r="C63" s="7">
        <v>360</v>
      </c>
      <c r="D63" s="19">
        <v>45747</v>
      </c>
      <c r="E63" s="7">
        <v>14</v>
      </c>
      <c r="F63" s="29">
        <v>347248</v>
      </c>
      <c r="G63" s="29">
        <v>318279.52391924214</v>
      </c>
      <c r="H63" s="29">
        <v>357987.62886597938</v>
      </c>
      <c r="I63" s="7">
        <v>97</v>
      </c>
      <c r="J63" s="7" t="s">
        <v>61</v>
      </c>
      <c r="K63" s="7">
        <v>738</v>
      </c>
      <c r="L63" s="7">
        <v>38</v>
      </c>
      <c r="M63" s="7" t="s">
        <v>59</v>
      </c>
      <c r="N63" s="10">
        <v>5.9428111312938653E-2</v>
      </c>
      <c r="O63" s="7">
        <v>0.35</v>
      </c>
      <c r="P63" s="7">
        <v>0.35</v>
      </c>
      <c r="R63" s="30">
        <f t="shared" si="4"/>
        <v>1215.3679999999999</v>
      </c>
      <c r="S63" s="7" t="str">
        <f t="shared" si="5"/>
        <v>&gt; 95</v>
      </c>
      <c r="T63" s="7" t="str">
        <f t="shared" si="0"/>
        <v>700-750</v>
      </c>
      <c r="U63" s="31">
        <f t="shared" si="1"/>
        <v>7.0000000000000007E-2</v>
      </c>
      <c r="V63" s="30">
        <f t="shared" si="2"/>
        <v>116967.72504032149</v>
      </c>
      <c r="W63" s="30">
        <f t="shared" si="3"/>
        <v>29904.015579121769</v>
      </c>
      <c r="X63" s="30">
        <f t="shared" si="6"/>
        <v>29904.015579121769</v>
      </c>
      <c r="Y63" s="30">
        <f t="shared" si="7"/>
        <v>2093.281090538524</v>
      </c>
    </row>
    <row r="64" spans="1:25" x14ac:dyDescent="0.15">
      <c r="A64" s="7">
        <v>1060</v>
      </c>
      <c r="B64" s="19">
        <v>45371</v>
      </c>
      <c r="C64" s="7">
        <v>360</v>
      </c>
      <c r="D64" s="19">
        <v>45747</v>
      </c>
      <c r="E64" s="7">
        <v>12</v>
      </c>
      <c r="F64" s="29">
        <v>161687</v>
      </c>
      <c r="G64" s="29">
        <v>149180.66891660003</v>
      </c>
      <c r="H64" s="29">
        <v>166687.62886597938</v>
      </c>
      <c r="I64" s="7">
        <v>97</v>
      </c>
      <c r="J64" s="7" t="s">
        <v>62</v>
      </c>
      <c r="K64" s="7">
        <v>795</v>
      </c>
      <c r="L64" s="7">
        <v>30</v>
      </c>
      <c r="M64" s="7" t="s">
        <v>59</v>
      </c>
      <c r="N64" s="10">
        <v>6.6894023926348578E-2</v>
      </c>
      <c r="O64" s="7">
        <v>0.35</v>
      </c>
      <c r="P64" s="7">
        <v>0.43</v>
      </c>
      <c r="R64" s="30">
        <f t="shared" si="4"/>
        <v>695.25409999999999</v>
      </c>
      <c r="S64" s="7" t="str">
        <f t="shared" si="5"/>
        <v>&gt; 95</v>
      </c>
      <c r="T64" s="7" t="str">
        <f t="shared" si="0"/>
        <v>750-800</v>
      </c>
      <c r="U64" s="31">
        <f t="shared" si="1"/>
        <v>0.06</v>
      </c>
      <c r="V64" s="30">
        <f t="shared" si="2"/>
        <v>54823.895826850516</v>
      </c>
      <c r="W64" s="30">
        <f t="shared" si="3"/>
        <v>14955.217826347594</v>
      </c>
      <c r="X64" s="30">
        <f t="shared" si="6"/>
        <v>14955.217826347594</v>
      </c>
      <c r="Y64" s="30">
        <f t="shared" si="7"/>
        <v>897.31306958085565</v>
      </c>
    </row>
    <row r="65" spans="1:25" x14ac:dyDescent="0.15">
      <c r="A65" s="7">
        <v>1061</v>
      </c>
      <c r="B65" s="19">
        <v>45418</v>
      </c>
      <c r="C65" s="7">
        <v>360</v>
      </c>
      <c r="D65" s="19">
        <v>45747</v>
      </c>
      <c r="E65" s="7">
        <v>10</v>
      </c>
      <c r="F65" s="29">
        <v>369632</v>
      </c>
      <c r="G65" s="29">
        <v>344159.31149408256</v>
      </c>
      <c r="H65" s="29">
        <v>445339.75903614459</v>
      </c>
      <c r="I65" s="7">
        <v>83</v>
      </c>
      <c r="J65" s="7" t="s">
        <v>69</v>
      </c>
      <c r="K65" s="7">
        <v>630</v>
      </c>
      <c r="L65" s="7">
        <v>47</v>
      </c>
      <c r="M65" s="7" t="s">
        <v>59</v>
      </c>
      <c r="N65" s="10">
        <v>7.3524134590977508E-2</v>
      </c>
      <c r="O65" s="7">
        <v>0.12</v>
      </c>
      <c r="P65" s="7">
        <v>0.38</v>
      </c>
      <c r="R65" s="30">
        <f t="shared" si="4"/>
        <v>1404.6016</v>
      </c>
      <c r="S65" s="7" t="str">
        <f t="shared" si="5"/>
        <v>80-85</v>
      </c>
      <c r="T65" s="7" t="str">
        <f t="shared" si="0"/>
        <v>&lt; 650</v>
      </c>
      <c r="U65" s="31">
        <f t="shared" si="1"/>
        <v>0.04</v>
      </c>
      <c r="V65" s="30">
        <f t="shared" si="2"/>
        <v>43364.073248254404</v>
      </c>
      <c r="W65" s="30">
        <f t="shared" si="3"/>
        <v>-17171.518111936166</v>
      </c>
      <c r="X65" s="30">
        <f t="shared" si="6"/>
        <v>0</v>
      </c>
      <c r="Y65" s="30">
        <f t="shared" si="7"/>
        <v>0</v>
      </c>
    </row>
    <row r="66" spans="1:25" x14ac:dyDescent="0.15">
      <c r="A66" s="7">
        <v>1062</v>
      </c>
      <c r="B66" s="19">
        <v>45431</v>
      </c>
      <c r="C66" s="7">
        <v>360</v>
      </c>
      <c r="D66" s="19">
        <v>45747</v>
      </c>
      <c r="E66" s="7">
        <v>10</v>
      </c>
      <c r="F66" s="29">
        <v>333523</v>
      </c>
      <c r="G66" s="29">
        <v>310657.29586418637</v>
      </c>
      <c r="H66" s="29">
        <v>397051.19047619047</v>
      </c>
      <c r="I66" s="7">
        <v>84</v>
      </c>
      <c r="J66" s="7" t="s">
        <v>61</v>
      </c>
      <c r="K66" s="7">
        <v>685</v>
      </c>
      <c r="L66" s="7">
        <v>0</v>
      </c>
      <c r="M66" s="7" t="s">
        <v>59</v>
      </c>
      <c r="N66" s="10">
        <v>7.3001486212609171E-2</v>
      </c>
      <c r="O66" s="7">
        <v>0.12</v>
      </c>
      <c r="P66" s="7">
        <v>0.24</v>
      </c>
      <c r="R66" s="30">
        <f t="shared" si="4"/>
        <v>800.45519999999999</v>
      </c>
      <c r="S66" s="7" t="str">
        <f t="shared" si="5"/>
        <v>80-85</v>
      </c>
      <c r="T66" s="7" t="str">
        <f t="shared" si="0"/>
        <v>650-700</v>
      </c>
      <c r="U66" s="31">
        <f t="shared" si="1"/>
        <v>0.03</v>
      </c>
      <c r="V66" s="30">
        <f t="shared" si="2"/>
        <v>39142.819278887488</v>
      </c>
      <c r="W66" s="30">
        <f t="shared" si="3"/>
        <v>-11303.351247366169</v>
      </c>
      <c r="X66" s="30">
        <f t="shared" si="6"/>
        <v>0</v>
      </c>
      <c r="Y66" s="30">
        <f t="shared" si="7"/>
        <v>0</v>
      </c>
    </row>
    <row r="67" spans="1:25" x14ac:dyDescent="0.15">
      <c r="A67" s="7">
        <v>1063</v>
      </c>
      <c r="B67" s="19">
        <v>45390</v>
      </c>
      <c r="C67" s="7">
        <v>360</v>
      </c>
      <c r="D67" s="19">
        <v>45747</v>
      </c>
      <c r="E67" s="7">
        <v>11</v>
      </c>
      <c r="F67" s="29">
        <v>395006</v>
      </c>
      <c r="G67" s="29">
        <v>364206.35298044636</v>
      </c>
      <c r="H67" s="29">
        <v>443826.96629213484</v>
      </c>
      <c r="I67" s="7">
        <v>89</v>
      </c>
      <c r="J67" s="7" t="s">
        <v>63</v>
      </c>
      <c r="K67" s="7">
        <v>699</v>
      </c>
      <c r="L67" s="7">
        <v>2</v>
      </c>
      <c r="M67" s="7" t="s">
        <v>59</v>
      </c>
      <c r="N67" s="10">
        <v>7.6402319211977848E-2</v>
      </c>
      <c r="O67" s="7">
        <v>0.12</v>
      </c>
      <c r="P67" s="7">
        <v>0.36</v>
      </c>
      <c r="R67" s="30">
        <f t="shared" si="4"/>
        <v>1422.0216</v>
      </c>
      <c r="S67" s="7" t="str">
        <f t="shared" si="5"/>
        <v>85-90</v>
      </c>
      <c r="T67" s="7" t="str">
        <f t="shared" si="0"/>
        <v>650-700</v>
      </c>
      <c r="U67" s="31">
        <f t="shared" si="1"/>
        <v>0.04</v>
      </c>
      <c r="V67" s="30">
        <f t="shared" si="2"/>
        <v>45890.000475536239</v>
      </c>
      <c r="W67" s="30">
        <f t="shared" si="3"/>
        <v>5163.7492811540724</v>
      </c>
      <c r="X67" s="30">
        <f t="shared" si="6"/>
        <v>5163.7492811540724</v>
      </c>
      <c r="Y67" s="30">
        <f t="shared" si="7"/>
        <v>206.5499712461629</v>
      </c>
    </row>
    <row r="68" spans="1:25" x14ac:dyDescent="0.15">
      <c r="A68" s="7">
        <v>1064</v>
      </c>
      <c r="B68" s="19">
        <v>45447</v>
      </c>
      <c r="C68" s="7">
        <v>360</v>
      </c>
      <c r="D68" s="19">
        <v>45747</v>
      </c>
      <c r="E68" s="7">
        <v>9</v>
      </c>
      <c r="F68" s="29">
        <v>287251</v>
      </c>
      <c r="G68" s="29">
        <v>270800.50669605919</v>
      </c>
      <c r="H68" s="29">
        <v>350306.09756097564</v>
      </c>
      <c r="I68" s="7">
        <v>82</v>
      </c>
      <c r="J68" s="7" t="s">
        <v>60</v>
      </c>
      <c r="K68" s="7">
        <v>683</v>
      </c>
      <c r="L68" s="7">
        <v>10</v>
      </c>
      <c r="M68" s="7" t="s">
        <v>59</v>
      </c>
      <c r="N68" s="10">
        <v>6.5645476506086653E-2</v>
      </c>
      <c r="O68" s="7">
        <v>0.12</v>
      </c>
      <c r="P68" s="7">
        <v>0.27</v>
      </c>
      <c r="R68" s="30">
        <f t="shared" si="4"/>
        <v>775.57770000000005</v>
      </c>
      <c r="S68" s="7" t="str">
        <f t="shared" si="5"/>
        <v>80-85</v>
      </c>
      <c r="T68" s="7" t="str">
        <f t="shared" si="0"/>
        <v>650-700</v>
      </c>
      <c r="U68" s="31">
        <f t="shared" si="1"/>
        <v>0.03</v>
      </c>
      <c r="V68" s="30">
        <f t="shared" si="2"/>
        <v>34120.863843703461</v>
      </c>
      <c r="W68" s="30">
        <f t="shared" si="3"/>
        <v>-13419.65089596709</v>
      </c>
      <c r="X68" s="30">
        <f t="shared" si="6"/>
        <v>0</v>
      </c>
      <c r="Y68" s="30">
        <f t="shared" si="7"/>
        <v>0</v>
      </c>
    </row>
    <row r="69" spans="1:25" x14ac:dyDescent="0.15">
      <c r="A69" s="7">
        <v>1065</v>
      </c>
      <c r="B69" s="19">
        <v>45324</v>
      </c>
      <c r="C69" s="7">
        <v>360</v>
      </c>
      <c r="D69" s="19">
        <v>45747</v>
      </c>
      <c r="E69" s="7">
        <v>13</v>
      </c>
      <c r="F69" s="29">
        <v>360124</v>
      </c>
      <c r="G69" s="29">
        <v>327650.19694721891</v>
      </c>
      <c r="H69" s="29">
        <v>450155</v>
      </c>
      <c r="I69" s="7">
        <v>80</v>
      </c>
      <c r="J69" s="7" t="s">
        <v>69</v>
      </c>
      <c r="K69" s="7">
        <v>748</v>
      </c>
      <c r="L69" s="7">
        <v>12</v>
      </c>
      <c r="M69" s="7" t="s">
        <v>59</v>
      </c>
      <c r="N69" s="10">
        <v>7.4185509098505881E-2</v>
      </c>
      <c r="O69" s="7">
        <v>0.12</v>
      </c>
      <c r="P69" s="7">
        <v>0.38</v>
      </c>
      <c r="R69" s="30">
        <f t="shared" si="4"/>
        <v>1368.4712</v>
      </c>
      <c r="S69" s="7" t="str">
        <f t="shared" ref="S69:S132" si="8">_xlfn.IFS(I69&lt;80,"&lt; 80",AND(I69&gt;=80,I69&lt;=85),"80-85",AND(I69&gt;85,I69&lt;=90),"85-90",AND(I69&gt;90,I69&lt;=95),"90-95",I69&gt;95,"&gt; 95")</f>
        <v>80-85</v>
      </c>
      <c r="T69" s="7" t="str">
        <f t="shared" ref="T69:T132" si="9">_xlfn.IFS(K69&lt;650,"&lt; 650",AND(K69&gt;=650,K69&lt;=700),"650-700",AND(K69&gt;700,K69&lt;=750),"700-750",AND(K69&gt;750,K69&lt;=800),"750-800",K69&gt;800,"&gt; 800")</f>
        <v>700-750</v>
      </c>
      <c r="U69" s="31">
        <f t="shared" ref="U69:U132" si="10">INDEX(LTV_FICO_DefaultRates,MATCH(S69,LTV_DefaultTable,0),MATCH(T69,FICO_DefaultTabe,0))</f>
        <v>2.5000000000000001E-2</v>
      </c>
      <c r="V69" s="30">
        <f t="shared" ref="V69:V132" si="11">((G69*(1+Expense_Loading))*O69)</f>
        <v>41283.924815349579</v>
      </c>
      <c r="W69" s="30">
        <f t="shared" ref="W69:W132" si="12">(G69*(1+Expense_Loading))-(H69*(1+HPI_Movement))</f>
        <v>-38599.043205420137</v>
      </c>
      <c r="X69" s="30">
        <f t="shared" si="6"/>
        <v>0</v>
      </c>
      <c r="Y69" s="30">
        <f t="shared" si="7"/>
        <v>0</v>
      </c>
    </row>
    <row r="70" spans="1:25" x14ac:dyDescent="0.15">
      <c r="A70" s="7">
        <v>1066</v>
      </c>
      <c r="B70" s="19">
        <v>45450</v>
      </c>
      <c r="C70" s="7">
        <v>360</v>
      </c>
      <c r="D70" s="19">
        <v>45747</v>
      </c>
      <c r="E70" s="7">
        <v>9</v>
      </c>
      <c r="F70" s="29">
        <v>277779</v>
      </c>
      <c r="G70" s="29">
        <v>262481.36009237863</v>
      </c>
      <c r="H70" s="29">
        <v>289353.125</v>
      </c>
      <c r="I70" s="7">
        <v>96</v>
      </c>
      <c r="J70" s="7" t="s">
        <v>72</v>
      </c>
      <c r="K70" s="7">
        <v>789</v>
      </c>
      <c r="L70" s="7">
        <v>33</v>
      </c>
      <c r="M70" s="7" t="s">
        <v>59</v>
      </c>
      <c r="N70" s="10">
        <v>6.1912747484695912E-2</v>
      </c>
      <c r="O70" s="7">
        <v>0.3</v>
      </c>
      <c r="P70" s="7">
        <v>0.42</v>
      </c>
      <c r="R70" s="30">
        <f t="shared" ref="R70:R133" si="13">P70*F70/100</f>
        <v>1166.6717999999998</v>
      </c>
      <c r="S70" s="7" t="str">
        <f t="shared" si="8"/>
        <v>&gt; 95</v>
      </c>
      <c r="T70" s="7" t="str">
        <f t="shared" si="9"/>
        <v>750-800</v>
      </c>
      <c r="U70" s="31">
        <f t="shared" si="10"/>
        <v>0.06</v>
      </c>
      <c r="V70" s="30">
        <f t="shared" si="11"/>
        <v>82681.628429099263</v>
      </c>
      <c r="W70" s="30">
        <f t="shared" si="12"/>
        <v>29655.271846997552</v>
      </c>
      <c r="X70" s="30">
        <f t="shared" ref="X70:X133" si="14">MAX(MIN(V70,W70),0)</f>
        <v>29655.271846997552</v>
      </c>
      <c r="Y70" s="30">
        <f t="shared" ref="Y70:Y133" si="15">X70*U70</f>
        <v>1779.316310819853</v>
      </c>
    </row>
    <row r="71" spans="1:25" x14ac:dyDescent="0.15">
      <c r="A71" s="7">
        <v>1067</v>
      </c>
      <c r="B71" s="19">
        <v>45394</v>
      </c>
      <c r="C71" s="7">
        <v>360</v>
      </c>
      <c r="D71" s="19">
        <v>45747</v>
      </c>
      <c r="E71" s="7">
        <v>11</v>
      </c>
      <c r="F71" s="29">
        <v>426140</v>
      </c>
      <c r="G71" s="29">
        <v>400639.2896279681</v>
      </c>
      <c r="H71" s="29">
        <v>473488.88888888888</v>
      </c>
      <c r="I71" s="7">
        <v>90</v>
      </c>
      <c r="J71" s="7" t="s">
        <v>65</v>
      </c>
      <c r="K71" s="7">
        <v>685</v>
      </c>
      <c r="L71" s="7">
        <v>28</v>
      </c>
      <c r="M71" s="7" t="s">
        <v>59</v>
      </c>
      <c r="N71" s="10">
        <v>5.1172547474844239E-2</v>
      </c>
      <c r="O71" s="7">
        <v>0.25</v>
      </c>
      <c r="P71" s="7">
        <v>0.24</v>
      </c>
      <c r="R71" s="30">
        <f t="shared" si="13"/>
        <v>1022.7359999999999</v>
      </c>
      <c r="S71" s="7" t="str">
        <f t="shared" si="8"/>
        <v>85-90</v>
      </c>
      <c r="T71" s="7" t="str">
        <f t="shared" si="9"/>
        <v>650-700</v>
      </c>
      <c r="U71" s="31">
        <f t="shared" si="10"/>
        <v>0.04</v>
      </c>
      <c r="V71" s="30">
        <f t="shared" si="11"/>
        <v>105167.81352734163</v>
      </c>
      <c r="W71" s="30">
        <f t="shared" si="12"/>
        <v>18205.698553810944</v>
      </c>
      <c r="X71" s="30">
        <f t="shared" si="14"/>
        <v>18205.698553810944</v>
      </c>
      <c r="Y71" s="30">
        <f t="shared" si="15"/>
        <v>728.22794215243778</v>
      </c>
    </row>
    <row r="72" spans="1:25" x14ac:dyDescent="0.15">
      <c r="A72" s="7">
        <v>1068</v>
      </c>
      <c r="B72" s="19">
        <v>45393</v>
      </c>
      <c r="C72" s="7">
        <v>360</v>
      </c>
      <c r="D72" s="19">
        <v>45747</v>
      </c>
      <c r="E72" s="7">
        <v>11</v>
      </c>
      <c r="F72" s="29">
        <v>546654</v>
      </c>
      <c r="G72" s="29">
        <v>507153.49815849843</v>
      </c>
      <c r="H72" s="29">
        <v>635644.18604651163</v>
      </c>
      <c r="I72" s="7">
        <v>86</v>
      </c>
      <c r="J72" s="7" t="s">
        <v>66</v>
      </c>
      <c r="K72" s="7">
        <v>711</v>
      </c>
      <c r="L72" s="7">
        <v>46</v>
      </c>
      <c r="M72" s="7" t="s">
        <v>59</v>
      </c>
      <c r="N72" s="10">
        <v>6.8745265747656534E-2</v>
      </c>
      <c r="O72" s="7">
        <v>0.12</v>
      </c>
      <c r="P72" s="7">
        <v>0.22</v>
      </c>
      <c r="R72" s="30">
        <f t="shared" si="13"/>
        <v>1202.6387999999999</v>
      </c>
      <c r="S72" s="7" t="str">
        <f t="shared" si="8"/>
        <v>85-90</v>
      </c>
      <c r="T72" s="7" t="str">
        <f t="shared" si="9"/>
        <v>700-750</v>
      </c>
      <c r="U72" s="31">
        <f t="shared" si="10"/>
        <v>0.03</v>
      </c>
      <c r="V72" s="30">
        <f t="shared" si="11"/>
        <v>63901.340767970803</v>
      </c>
      <c r="W72" s="30">
        <f t="shared" si="12"/>
        <v>-7786.385073111509</v>
      </c>
      <c r="X72" s="30">
        <f t="shared" si="14"/>
        <v>0</v>
      </c>
      <c r="Y72" s="30">
        <f t="shared" si="15"/>
        <v>0</v>
      </c>
    </row>
    <row r="73" spans="1:25" x14ac:dyDescent="0.15">
      <c r="A73" s="7">
        <v>1069</v>
      </c>
      <c r="B73" s="19">
        <v>45312</v>
      </c>
      <c r="C73" s="7">
        <v>360</v>
      </c>
      <c r="D73" s="19">
        <v>45747</v>
      </c>
      <c r="E73" s="7">
        <v>14</v>
      </c>
      <c r="F73" s="29">
        <v>164122</v>
      </c>
      <c r="G73" s="29">
        <v>151126.04014127571</v>
      </c>
      <c r="H73" s="29">
        <v>169197.93814432991</v>
      </c>
      <c r="I73" s="7">
        <v>97</v>
      </c>
      <c r="J73" s="7" t="s">
        <v>65</v>
      </c>
      <c r="K73" s="7">
        <v>680</v>
      </c>
      <c r="L73" s="7">
        <v>10</v>
      </c>
      <c r="M73" s="7" t="s">
        <v>59</v>
      </c>
      <c r="N73" s="10">
        <v>5.4651656103704163E-2</v>
      </c>
      <c r="O73" s="7">
        <v>0.35</v>
      </c>
      <c r="P73" s="7">
        <v>0.24</v>
      </c>
      <c r="R73" s="30">
        <f t="shared" si="13"/>
        <v>393.89279999999997</v>
      </c>
      <c r="S73" s="7" t="str">
        <f t="shared" si="8"/>
        <v>&gt; 95</v>
      </c>
      <c r="T73" s="7" t="str">
        <f t="shared" si="9"/>
        <v>650-700</v>
      </c>
      <c r="U73" s="31">
        <f t="shared" si="10"/>
        <v>0.08</v>
      </c>
      <c r="V73" s="30">
        <f t="shared" si="11"/>
        <v>55538.819751918818</v>
      </c>
      <c r="W73" s="30">
        <f t="shared" si="12"/>
        <v>14864.094725659088</v>
      </c>
      <c r="X73" s="30">
        <f t="shared" si="14"/>
        <v>14864.094725659088</v>
      </c>
      <c r="Y73" s="30">
        <f t="shared" si="15"/>
        <v>1189.1275780527271</v>
      </c>
    </row>
    <row r="74" spans="1:25" x14ac:dyDescent="0.15">
      <c r="A74" s="7">
        <v>1070</v>
      </c>
      <c r="B74" s="19">
        <v>45396</v>
      </c>
      <c r="C74" s="7">
        <v>360</v>
      </c>
      <c r="D74" s="19">
        <v>45747</v>
      </c>
      <c r="E74" s="7">
        <v>11</v>
      </c>
      <c r="F74" s="29">
        <v>164602</v>
      </c>
      <c r="G74" s="29">
        <v>154105.65153827361</v>
      </c>
      <c r="H74" s="29">
        <v>193649.41176470587</v>
      </c>
      <c r="I74" s="7">
        <v>85</v>
      </c>
      <c r="J74" s="7" t="s">
        <v>71</v>
      </c>
      <c r="K74" s="7">
        <v>803</v>
      </c>
      <c r="L74" s="7">
        <v>50</v>
      </c>
      <c r="M74" s="7" t="s">
        <v>59</v>
      </c>
      <c r="N74" s="10">
        <v>5.6890947676528435E-2</v>
      </c>
      <c r="O74" s="7">
        <v>0.12</v>
      </c>
      <c r="P74" s="7">
        <v>0.36</v>
      </c>
      <c r="R74" s="30">
        <f t="shared" si="13"/>
        <v>592.56719999999996</v>
      </c>
      <c r="S74" s="7" t="str">
        <f t="shared" si="8"/>
        <v>80-85</v>
      </c>
      <c r="T74" s="7" t="str">
        <f t="shared" si="9"/>
        <v>&gt; 800</v>
      </c>
      <c r="U74" s="31">
        <f t="shared" si="10"/>
        <v>0.01</v>
      </c>
      <c r="V74" s="30">
        <f t="shared" si="11"/>
        <v>19417.312093822475</v>
      </c>
      <c r="W74" s="30">
        <f t="shared" si="12"/>
        <v>-2791.0658848127059</v>
      </c>
      <c r="X74" s="30">
        <f t="shared" si="14"/>
        <v>0</v>
      </c>
      <c r="Y74" s="30">
        <f t="shared" si="15"/>
        <v>0</v>
      </c>
    </row>
    <row r="75" spans="1:25" x14ac:dyDescent="0.15">
      <c r="A75" s="7">
        <v>1071</v>
      </c>
      <c r="B75" s="19">
        <v>45363</v>
      </c>
      <c r="C75" s="7">
        <v>360</v>
      </c>
      <c r="D75" s="19">
        <v>45747</v>
      </c>
      <c r="E75" s="7">
        <v>12</v>
      </c>
      <c r="F75" s="29">
        <v>682759</v>
      </c>
      <c r="G75" s="29">
        <v>637102.94398854091</v>
      </c>
      <c r="H75" s="29">
        <v>711207.29166666674</v>
      </c>
      <c r="I75" s="7">
        <v>96</v>
      </c>
      <c r="J75" s="7" t="s">
        <v>66</v>
      </c>
      <c r="K75" s="7">
        <v>832</v>
      </c>
      <c r="L75" s="7">
        <v>32</v>
      </c>
      <c r="M75" s="7" t="s">
        <v>59</v>
      </c>
      <c r="N75" s="10">
        <v>5.3312929959868818E-2</v>
      </c>
      <c r="O75" s="7">
        <v>0.3</v>
      </c>
      <c r="P75" s="7">
        <v>0.4</v>
      </c>
      <c r="R75" s="30">
        <f t="shared" si="13"/>
        <v>2731.0360000000005</v>
      </c>
      <c r="S75" s="7" t="str">
        <f t="shared" si="8"/>
        <v>&gt; 95</v>
      </c>
      <c r="T75" s="7" t="str">
        <f t="shared" si="9"/>
        <v>&gt; 800</v>
      </c>
      <c r="U75" s="31">
        <f t="shared" si="10"/>
        <v>0.05</v>
      </c>
      <c r="V75" s="30">
        <f t="shared" si="11"/>
        <v>200687.4273563904</v>
      </c>
      <c r="W75" s="30">
        <f t="shared" si="12"/>
        <v>64431.893271301291</v>
      </c>
      <c r="X75" s="30">
        <f t="shared" si="14"/>
        <v>64431.893271301291</v>
      </c>
      <c r="Y75" s="30">
        <f t="shared" si="15"/>
        <v>3221.5946635650648</v>
      </c>
    </row>
    <row r="76" spans="1:25" x14ac:dyDescent="0.15">
      <c r="A76" s="7">
        <v>1072</v>
      </c>
      <c r="B76" s="19">
        <v>45340</v>
      </c>
      <c r="C76" s="7">
        <v>360</v>
      </c>
      <c r="D76" s="19">
        <v>45747</v>
      </c>
      <c r="E76" s="7">
        <v>13</v>
      </c>
      <c r="F76" s="29">
        <v>394902</v>
      </c>
      <c r="G76" s="29">
        <v>365024.13206341607</v>
      </c>
      <c r="H76" s="29">
        <v>453910.3448275862</v>
      </c>
      <c r="I76" s="7">
        <v>87</v>
      </c>
      <c r="J76" s="7" t="s">
        <v>72</v>
      </c>
      <c r="K76" s="7">
        <v>844</v>
      </c>
      <c r="L76" s="7">
        <v>45</v>
      </c>
      <c r="M76" s="7" t="s">
        <v>59</v>
      </c>
      <c r="N76" s="10">
        <v>5.7250977048784721E-2</v>
      </c>
      <c r="O76" s="7">
        <v>0.12</v>
      </c>
      <c r="P76" s="7">
        <v>0.25</v>
      </c>
      <c r="R76" s="30">
        <f t="shared" si="13"/>
        <v>987.255</v>
      </c>
      <c r="S76" s="7" t="str">
        <f t="shared" si="8"/>
        <v>85-90</v>
      </c>
      <c r="T76" s="7" t="str">
        <f t="shared" si="9"/>
        <v>&gt; 800</v>
      </c>
      <c r="U76" s="31">
        <f t="shared" si="10"/>
        <v>0.01</v>
      </c>
      <c r="V76" s="30">
        <f t="shared" si="11"/>
        <v>45993.040639990424</v>
      </c>
      <c r="W76" s="30">
        <f t="shared" si="12"/>
        <v>-2548.4544368613861</v>
      </c>
      <c r="X76" s="30">
        <f t="shared" si="14"/>
        <v>0</v>
      </c>
      <c r="Y76" s="30">
        <f t="shared" si="15"/>
        <v>0</v>
      </c>
    </row>
    <row r="77" spans="1:25" x14ac:dyDescent="0.15">
      <c r="A77" s="7">
        <v>1073</v>
      </c>
      <c r="B77" s="19">
        <v>45381</v>
      </c>
      <c r="C77" s="7">
        <v>360</v>
      </c>
      <c r="D77" s="19">
        <v>45747</v>
      </c>
      <c r="E77" s="7">
        <v>12</v>
      </c>
      <c r="F77" s="29">
        <v>788363</v>
      </c>
      <c r="G77" s="29">
        <v>735044.30289276678</v>
      </c>
      <c r="H77" s="29">
        <v>847702.15053763438</v>
      </c>
      <c r="I77" s="7">
        <v>93</v>
      </c>
      <c r="J77" s="7" t="s">
        <v>72</v>
      </c>
      <c r="K77" s="7">
        <v>735</v>
      </c>
      <c r="L77" s="7">
        <v>18</v>
      </c>
      <c r="M77" s="7" t="s">
        <v>59</v>
      </c>
      <c r="N77" s="10">
        <v>5.4331425139800632E-2</v>
      </c>
      <c r="O77" s="7">
        <v>0.25</v>
      </c>
      <c r="P77" s="7">
        <v>0.43</v>
      </c>
      <c r="R77" s="30">
        <f t="shared" si="13"/>
        <v>3389.9608999999996</v>
      </c>
      <c r="S77" s="7" t="str">
        <f t="shared" si="8"/>
        <v>90-95</v>
      </c>
      <c r="T77" s="7" t="str">
        <f t="shared" si="9"/>
        <v>700-750</v>
      </c>
      <c r="U77" s="31">
        <f t="shared" si="10"/>
        <v>0.06</v>
      </c>
      <c r="V77" s="30">
        <f t="shared" si="11"/>
        <v>192949.12950935127</v>
      </c>
      <c r="W77" s="30">
        <f t="shared" si="12"/>
        <v>51249.690080415923</v>
      </c>
      <c r="X77" s="30">
        <f t="shared" si="14"/>
        <v>51249.690080415923</v>
      </c>
      <c r="Y77" s="30">
        <f t="shared" si="15"/>
        <v>3074.9814048249555</v>
      </c>
    </row>
    <row r="78" spans="1:25" x14ac:dyDescent="0.15">
      <c r="A78" s="7">
        <v>1074</v>
      </c>
      <c r="B78" s="19">
        <v>45307</v>
      </c>
      <c r="C78" s="7">
        <v>360</v>
      </c>
      <c r="D78" s="19">
        <v>45747</v>
      </c>
      <c r="E78" s="7">
        <v>14</v>
      </c>
      <c r="F78" s="29">
        <v>567528</v>
      </c>
      <c r="G78" s="29">
        <v>515889.6572960621</v>
      </c>
      <c r="H78" s="29">
        <v>683768.67469879519</v>
      </c>
      <c r="I78" s="7">
        <v>83</v>
      </c>
      <c r="J78" s="7" t="s">
        <v>66</v>
      </c>
      <c r="K78" s="7">
        <v>619</v>
      </c>
      <c r="L78" s="7">
        <v>50</v>
      </c>
      <c r="M78" s="7" t="s">
        <v>59</v>
      </c>
      <c r="N78" s="10">
        <v>6.7698122449258658E-2</v>
      </c>
      <c r="O78" s="7">
        <v>0.12</v>
      </c>
      <c r="P78" s="7">
        <v>0.39</v>
      </c>
      <c r="R78" s="30">
        <f t="shared" si="13"/>
        <v>2213.3592000000003</v>
      </c>
      <c r="S78" s="7" t="str">
        <f t="shared" si="8"/>
        <v>80-85</v>
      </c>
      <c r="T78" s="7" t="str">
        <f t="shared" si="9"/>
        <v>&lt; 650</v>
      </c>
      <c r="U78" s="31">
        <f t="shared" si="10"/>
        <v>0.04</v>
      </c>
      <c r="V78" s="30">
        <f t="shared" si="11"/>
        <v>65002.096819303828</v>
      </c>
      <c r="W78" s="30">
        <f t="shared" si="12"/>
        <v>-39519.233333110576</v>
      </c>
      <c r="X78" s="30">
        <f t="shared" si="14"/>
        <v>0</v>
      </c>
      <c r="Y78" s="30">
        <f t="shared" si="15"/>
        <v>0</v>
      </c>
    </row>
    <row r="79" spans="1:25" x14ac:dyDescent="0.15">
      <c r="A79" s="7">
        <v>1075</v>
      </c>
      <c r="B79" s="19">
        <v>45444</v>
      </c>
      <c r="C79" s="7">
        <v>360</v>
      </c>
      <c r="D79" s="19">
        <v>45747</v>
      </c>
      <c r="E79" s="7">
        <v>9</v>
      </c>
      <c r="F79" s="29">
        <v>285931</v>
      </c>
      <c r="G79" s="29">
        <v>268634.22569253884</v>
      </c>
      <c r="H79" s="29">
        <v>332477.90697674418</v>
      </c>
      <c r="I79" s="7">
        <v>86</v>
      </c>
      <c r="J79" s="7" t="s">
        <v>63</v>
      </c>
      <c r="K79" s="7">
        <v>757</v>
      </c>
      <c r="L79" s="7">
        <v>25</v>
      </c>
      <c r="M79" s="7" t="s">
        <v>59</v>
      </c>
      <c r="N79" s="10">
        <v>7.1016395128206747E-2</v>
      </c>
      <c r="O79" s="7">
        <v>0.12</v>
      </c>
      <c r="P79" s="7">
        <v>0.38</v>
      </c>
      <c r="R79" s="30">
        <f t="shared" si="13"/>
        <v>1086.5378000000001</v>
      </c>
      <c r="S79" s="7" t="str">
        <f t="shared" si="8"/>
        <v>85-90</v>
      </c>
      <c r="T79" s="7" t="str">
        <f t="shared" si="9"/>
        <v>750-800</v>
      </c>
      <c r="U79" s="31">
        <f t="shared" si="10"/>
        <v>0.02</v>
      </c>
      <c r="V79" s="30">
        <f t="shared" si="11"/>
        <v>33847.912437259896</v>
      </c>
      <c r="W79" s="30">
        <f t="shared" si="12"/>
        <v>-540.28395306674065</v>
      </c>
      <c r="X79" s="30">
        <f t="shared" si="14"/>
        <v>0</v>
      </c>
      <c r="Y79" s="30">
        <f t="shared" si="15"/>
        <v>0</v>
      </c>
    </row>
    <row r="80" spans="1:25" x14ac:dyDescent="0.15">
      <c r="A80" s="7">
        <v>1076</v>
      </c>
      <c r="B80" s="19">
        <v>45333</v>
      </c>
      <c r="C80" s="7">
        <v>360</v>
      </c>
      <c r="D80" s="19">
        <v>45747</v>
      </c>
      <c r="E80" s="7">
        <v>13</v>
      </c>
      <c r="F80" s="29">
        <v>700064</v>
      </c>
      <c r="G80" s="29">
        <v>646826.95522344275</v>
      </c>
      <c r="H80" s="29">
        <v>752756.98924731184</v>
      </c>
      <c r="I80" s="7">
        <v>93</v>
      </c>
      <c r="J80" s="7" t="s">
        <v>71</v>
      </c>
      <c r="K80" s="7">
        <v>630</v>
      </c>
      <c r="L80" s="7">
        <v>5</v>
      </c>
      <c r="M80" s="7" t="s">
        <v>59</v>
      </c>
      <c r="N80" s="10">
        <v>5.7719654640708662E-2</v>
      </c>
      <c r="O80" s="7">
        <v>0.25</v>
      </c>
      <c r="P80" s="7">
        <v>0.4</v>
      </c>
      <c r="R80" s="30">
        <f t="shared" si="13"/>
        <v>2800.2560000000003</v>
      </c>
      <c r="S80" s="7" t="str">
        <f t="shared" si="8"/>
        <v>90-95</v>
      </c>
      <c r="T80" s="7" t="str">
        <f t="shared" si="9"/>
        <v>&lt; 650</v>
      </c>
      <c r="U80" s="31">
        <f t="shared" si="10"/>
        <v>0.08</v>
      </c>
      <c r="V80" s="30">
        <f t="shared" si="11"/>
        <v>169792.07574615374</v>
      </c>
      <c r="W80" s="30">
        <f t="shared" si="12"/>
        <v>39324.862124399981</v>
      </c>
      <c r="X80" s="30">
        <f t="shared" si="14"/>
        <v>39324.862124399981</v>
      </c>
      <c r="Y80" s="30">
        <f t="shared" si="15"/>
        <v>3145.9889699519986</v>
      </c>
    </row>
    <row r="81" spans="1:25" x14ac:dyDescent="0.15">
      <c r="A81" s="7">
        <v>1077</v>
      </c>
      <c r="B81" s="19">
        <v>45364</v>
      </c>
      <c r="C81" s="7">
        <v>360</v>
      </c>
      <c r="D81" s="19">
        <v>45747</v>
      </c>
      <c r="E81" s="7">
        <v>12</v>
      </c>
      <c r="F81" s="29">
        <v>550571</v>
      </c>
      <c r="G81" s="29">
        <v>510665.58347329986</v>
      </c>
      <c r="H81" s="29">
        <v>655441.66666666674</v>
      </c>
      <c r="I81" s="7">
        <v>84</v>
      </c>
      <c r="J81" s="7" t="s">
        <v>71</v>
      </c>
      <c r="K81" s="7">
        <v>610</v>
      </c>
      <c r="L81" s="7">
        <v>10</v>
      </c>
      <c r="M81" s="7" t="s">
        <v>59</v>
      </c>
      <c r="N81" s="10">
        <v>6.0691025068733417E-2</v>
      </c>
      <c r="O81" s="7">
        <v>0.12</v>
      </c>
      <c r="P81" s="7">
        <v>0.42</v>
      </c>
      <c r="R81" s="30">
        <f t="shared" si="13"/>
        <v>2312.3981999999996</v>
      </c>
      <c r="S81" s="7" t="str">
        <f t="shared" si="8"/>
        <v>80-85</v>
      </c>
      <c r="T81" s="7" t="str">
        <f t="shared" si="9"/>
        <v>&lt; 650</v>
      </c>
      <c r="U81" s="31">
        <f t="shared" si="10"/>
        <v>0.04</v>
      </c>
      <c r="V81" s="30">
        <f t="shared" si="11"/>
        <v>64343.863517635778</v>
      </c>
      <c r="W81" s="30">
        <f t="shared" si="12"/>
        <v>-20926.5540197019</v>
      </c>
      <c r="X81" s="30">
        <f t="shared" si="14"/>
        <v>0</v>
      </c>
      <c r="Y81" s="30">
        <f t="shared" si="15"/>
        <v>0</v>
      </c>
    </row>
    <row r="82" spans="1:25" x14ac:dyDescent="0.15">
      <c r="A82" s="7">
        <v>1078</v>
      </c>
      <c r="B82" s="19">
        <v>45370</v>
      </c>
      <c r="C82" s="7">
        <v>360</v>
      </c>
      <c r="D82" s="19">
        <v>45747</v>
      </c>
      <c r="E82" s="7">
        <v>12</v>
      </c>
      <c r="F82" s="29">
        <v>216852</v>
      </c>
      <c r="G82" s="29">
        <v>198173.80526381938</v>
      </c>
      <c r="H82" s="29">
        <v>258157.14285714287</v>
      </c>
      <c r="I82" s="7">
        <v>84</v>
      </c>
      <c r="J82" s="7" t="s">
        <v>69</v>
      </c>
      <c r="K82" s="7">
        <v>822</v>
      </c>
      <c r="L82" s="7">
        <v>9</v>
      </c>
      <c r="M82" s="7" t="s">
        <v>59</v>
      </c>
      <c r="N82" s="10">
        <v>7.769758808860415E-2</v>
      </c>
      <c r="O82" s="7">
        <v>0.12</v>
      </c>
      <c r="P82" s="7">
        <v>0.31</v>
      </c>
      <c r="R82" s="30">
        <f t="shared" si="13"/>
        <v>672.24119999999994</v>
      </c>
      <c r="S82" s="7" t="str">
        <f t="shared" si="8"/>
        <v>80-85</v>
      </c>
      <c r="T82" s="7" t="str">
        <f t="shared" si="9"/>
        <v>&gt; 800</v>
      </c>
      <c r="U82" s="31">
        <f t="shared" si="10"/>
        <v>0.01</v>
      </c>
      <c r="V82" s="30">
        <f t="shared" si="11"/>
        <v>24969.899463241243</v>
      </c>
      <c r="W82" s="30">
        <f t="shared" si="12"/>
        <v>-11351.075901561067</v>
      </c>
      <c r="X82" s="30">
        <f t="shared" si="14"/>
        <v>0</v>
      </c>
      <c r="Y82" s="30">
        <f t="shared" si="15"/>
        <v>0</v>
      </c>
    </row>
    <row r="83" spans="1:25" x14ac:dyDescent="0.15">
      <c r="A83" s="7">
        <v>1079</v>
      </c>
      <c r="B83" s="19">
        <v>45340</v>
      </c>
      <c r="C83" s="7">
        <v>360</v>
      </c>
      <c r="D83" s="19">
        <v>45747</v>
      </c>
      <c r="E83" s="7">
        <v>13</v>
      </c>
      <c r="F83" s="29">
        <v>320473</v>
      </c>
      <c r="G83" s="29">
        <v>290731.13062115578</v>
      </c>
      <c r="H83" s="29">
        <v>381515.47619047621</v>
      </c>
      <c r="I83" s="7">
        <v>84</v>
      </c>
      <c r="J83" s="7" t="s">
        <v>72</v>
      </c>
      <c r="K83" s="7">
        <v>708</v>
      </c>
      <c r="L83" s="7">
        <v>33</v>
      </c>
      <c r="M83" s="7" t="s">
        <v>59</v>
      </c>
      <c r="N83" s="10">
        <v>7.7135280765292163E-2</v>
      </c>
      <c r="O83" s="7">
        <v>0.12</v>
      </c>
      <c r="P83" s="7">
        <v>0.33</v>
      </c>
      <c r="R83" s="30">
        <f t="shared" si="13"/>
        <v>1057.5609000000002</v>
      </c>
      <c r="S83" s="7" t="str">
        <f t="shared" si="8"/>
        <v>80-85</v>
      </c>
      <c r="T83" s="7" t="str">
        <f t="shared" si="9"/>
        <v>700-750</v>
      </c>
      <c r="U83" s="31">
        <f t="shared" si="10"/>
        <v>2.5000000000000001E-2</v>
      </c>
      <c r="V83" s="30">
        <f t="shared" si="11"/>
        <v>36632.122458265629</v>
      </c>
      <c r="W83" s="30">
        <f t="shared" si="12"/>
        <v>-19020.467609691201</v>
      </c>
      <c r="X83" s="30">
        <f t="shared" si="14"/>
        <v>0</v>
      </c>
      <c r="Y83" s="30">
        <f t="shared" si="15"/>
        <v>0</v>
      </c>
    </row>
    <row r="84" spans="1:25" x14ac:dyDescent="0.15">
      <c r="A84" s="7">
        <v>1080</v>
      </c>
      <c r="B84" s="19">
        <v>45435</v>
      </c>
      <c r="C84" s="7">
        <v>360</v>
      </c>
      <c r="D84" s="19">
        <v>45747</v>
      </c>
      <c r="E84" s="7">
        <v>10</v>
      </c>
      <c r="F84" s="29">
        <v>315262</v>
      </c>
      <c r="G84" s="29">
        <v>292572.17177795258</v>
      </c>
      <c r="H84" s="29">
        <v>375311.90476190479</v>
      </c>
      <c r="I84" s="7">
        <v>84</v>
      </c>
      <c r="J84" s="7" t="s">
        <v>65</v>
      </c>
      <c r="K84" s="7">
        <v>607</v>
      </c>
      <c r="L84" s="7">
        <v>0</v>
      </c>
      <c r="M84" s="7" t="s">
        <v>59</v>
      </c>
      <c r="N84" s="10">
        <v>7.7977303710439511E-2</v>
      </c>
      <c r="O84" s="7">
        <v>0.12</v>
      </c>
      <c r="P84" s="7">
        <v>0.21</v>
      </c>
      <c r="R84" s="30">
        <f t="shared" si="13"/>
        <v>662.05020000000002</v>
      </c>
      <c r="S84" s="7" t="str">
        <f t="shared" si="8"/>
        <v>80-85</v>
      </c>
      <c r="T84" s="7" t="str">
        <f t="shared" si="9"/>
        <v>&lt; 650</v>
      </c>
      <c r="U84" s="31">
        <f t="shared" si="10"/>
        <v>0.04</v>
      </c>
      <c r="V84" s="30">
        <f t="shared" si="11"/>
        <v>36864.093644022025</v>
      </c>
      <c r="W84" s="30">
        <f t="shared" si="12"/>
        <v>-11814.338680768851</v>
      </c>
      <c r="X84" s="30">
        <f t="shared" si="14"/>
        <v>0</v>
      </c>
      <c r="Y84" s="30">
        <f t="shared" si="15"/>
        <v>0</v>
      </c>
    </row>
    <row r="85" spans="1:25" x14ac:dyDescent="0.15">
      <c r="A85" s="7">
        <v>1081</v>
      </c>
      <c r="B85" s="19">
        <v>45399</v>
      </c>
      <c r="C85" s="7">
        <v>360</v>
      </c>
      <c r="D85" s="19">
        <v>45747</v>
      </c>
      <c r="E85" s="7">
        <v>11</v>
      </c>
      <c r="F85" s="29">
        <v>127454</v>
      </c>
      <c r="G85" s="29">
        <v>117406.80884466931</v>
      </c>
      <c r="H85" s="29">
        <v>137047.31182795699</v>
      </c>
      <c r="I85" s="7">
        <v>93</v>
      </c>
      <c r="J85" s="7" t="s">
        <v>70</v>
      </c>
      <c r="K85" s="7">
        <v>766</v>
      </c>
      <c r="L85" s="7">
        <v>36</v>
      </c>
      <c r="M85" s="7" t="s">
        <v>59</v>
      </c>
      <c r="N85" s="10">
        <v>7.753235129316946E-2</v>
      </c>
      <c r="O85" s="7">
        <v>0.25</v>
      </c>
      <c r="P85" s="7">
        <v>0.38</v>
      </c>
      <c r="R85" s="30">
        <f t="shared" si="13"/>
        <v>484.32520000000005</v>
      </c>
      <c r="S85" s="7" t="str">
        <f t="shared" si="8"/>
        <v>90-95</v>
      </c>
      <c r="T85" s="7" t="str">
        <f t="shared" si="9"/>
        <v>750-800</v>
      </c>
      <c r="U85" s="31">
        <f t="shared" si="10"/>
        <v>0.05</v>
      </c>
      <c r="V85" s="30">
        <f t="shared" si="11"/>
        <v>30819.287321725697</v>
      </c>
      <c r="W85" s="30">
        <f t="shared" si="12"/>
        <v>6786.9342331393418</v>
      </c>
      <c r="X85" s="30">
        <f t="shared" si="14"/>
        <v>6786.9342331393418</v>
      </c>
      <c r="Y85" s="30">
        <f t="shared" si="15"/>
        <v>339.3467116569671</v>
      </c>
    </row>
    <row r="86" spans="1:25" x14ac:dyDescent="0.15">
      <c r="A86" s="7">
        <v>1082</v>
      </c>
      <c r="B86" s="19">
        <v>45299</v>
      </c>
      <c r="C86" s="7">
        <v>360</v>
      </c>
      <c r="D86" s="19">
        <v>45747</v>
      </c>
      <c r="E86" s="7">
        <v>14</v>
      </c>
      <c r="F86" s="29">
        <v>719732</v>
      </c>
      <c r="G86" s="29">
        <v>661571.43202394131</v>
      </c>
      <c r="H86" s="29">
        <v>808687.64044943824</v>
      </c>
      <c r="I86" s="7">
        <v>89</v>
      </c>
      <c r="J86" s="7" t="s">
        <v>64</v>
      </c>
      <c r="K86" s="7">
        <v>615</v>
      </c>
      <c r="L86" s="7">
        <v>21</v>
      </c>
      <c r="M86" s="7" t="s">
        <v>59</v>
      </c>
      <c r="N86" s="10">
        <v>5.6495067604014473E-2</v>
      </c>
      <c r="O86" s="7">
        <v>0.12</v>
      </c>
      <c r="P86" s="7">
        <v>0.23</v>
      </c>
      <c r="R86" s="30">
        <f t="shared" si="13"/>
        <v>1655.3836000000001</v>
      </c>
      <c r="S86" s="7" t="str">
        <f t="shared" si="8"/>
        <v>85-90</v>
      </c>
      <c r="T86" s="7" t="str">
        <f t="shared" si="9"/>
        <v>&lt; 650</v>
      </c>
      <c r="U86" s="31">
        <f t="shared" si="10"/>
        <v>0.05</v>
      </c>
      <c r="V86" s="30">
        <f t="shared" si="11"/>
        <v>83358.000435016613</v>
      </c>
      <c r="W86" s="30">
        <f t="shared" si="12"/>
        <v>7265.5092431158992</v>
      </c>
      <c r="X86" s="30">
        <f t="shared" si="14"/>
        <v>7265.5092431158992</v>
      </c>
      <c r="Y86" s="30">
        <f t="shared" si="15"/>
        <v>363.27546215579497</v>
      </c>
    </row>
    <row r="87" spans="1:25" x14ac:dyDescent="0.15">
      <c r="A87" s="7">
        <v>1083</v>
      </c>
      <c r="B87" s="19">
        <v>45429</v>
      </c>
      <c r="C87" s="7">
        <v>360</v>
      </c>
      <c r="D87" s="19">
        <v>45747</v>
      </c>
      <c r="E87" s="7">
        <v>10</v>
      </c>
      <c r="F87" s="29">
        <v>497567</v>
      </c>
      <c r="G87" s="29">
        <v>465094.4208049213</v>
      </c>
      <c r="H87" s="29">
        <v>559064.04494382022</v>
      </c>
      <c r="I87" s="7">
        <v>89</v>
      </c>
      <c r="J87" s="7" t="s">
        <v>67</v>
      </c>
      <c r="K87" s="7">
        <v>719</v>
      </c>
      <c r="L87" s="7">
        <v>20</v>
      </c>
      <c r="M87" s="7" t="s">
        <v>59</v>
      </c>
      <c r="N87" s="10">
        <v>6.8105376431332798E-2</v>
      </c>
      <c r="O87" s="7">
        <v>0.12</v>
      </c>
      <c r="P87" s="7">
        <v>0.35</v>
      </c>
      <c r="R87" s="30">
        <f t="shared" si="13"/>
        <v>1741.4844999999998</v>
      </c>
      <c r="S87" s="7" t="str">
        <f t="shared" si="8"/>
        <v>85-90</v>
      </c>
      <c r="T87" s="7" t="str">
        <f t="shared" si="9"/>
        <v>700-750</v>
      </c>
      <c r="U87" s="31">
        <f t="shared" si="10"/>
        <v>0.03</v>
      </c>
      <c r="V87" s="30">
        <f t="shared" si="11"/>
        <v>58601.897021420082</v>
      </c>
      <c r="W87" s="30">
        <f t="shared" si="12"/>
        <v>13144.703642920183</v>
      </c>
      <c r="X87" s="30">
        <f t="shared" si="14"/>
        <v>13144.703642920183</v>
      </c>
      <c r="Y87" s="30">
        <f t="shared" si="15"/>
        <v>394.34110928760549</v>
      </c>
    </row>
    <row r="88" spans="1:25" x14ac:dyDescent="0.15">
      <c r="A88" s="7">
        <v>1084</v>
      </c>
      <c r="B88" s="19">
        <v>45292</v>
      </c>
      <c r="C88" s="7">
        <v>360</v>
      </c>
      <c r="D88" s="19">
        <v>45747</v>
      </c>
      <c r="E88" s="7">
        <v>14</v>
      </c>
      <c r="F88" s="29">
        <v>583449</v>
      </c>
      <c r="G88" s="29">
        <v>530692.60994703148</v>
      </c>
      <c r="H88" s="29">
        <v>601493.81443298969</v>
      </c>
      <c r="I88" s="7">
        <v>97</v>
      </c>
      <c r="J88" s="7" t="s">
        <v>65</v>
      </c>
      <c r="K88" s="7">
        <v>792</v>
      </c>
      <c r="L88" s="7">
        <v>45</v>
      </c>
      <c r="M88" s="7" t="s">
        <v>59</v>
      </c>
      <c r="N88" s="10">
        <v>6.7089014940162159E-2</v>
      </c>
      <c r="O88" s="7">
        <v>0.35</v>
      </c>
      <c r="P88" s="7">
        <v>0.3</v>
      </c>
      <c r="R88" s="30">
        <f t="shared" si="13"/>
        <v>1750.3469999999998</v>
      </c>
      <c r="S88" s="7" t="str">
        <f t="shared" si="8"/>
        <v>&gt; 95</v>
      </c>
      <c r="T88" s="7" t="str">
        <f t="shared" si="9"/>
        <v>750-800</v>
      </c>
      <c r="U88" s="31">
        <f t="shared" si="10"/>
        <v>0.06</v>
      </c>
      <c r="V88" s="30">
        <f t="shared" si="11"/>
        <v>195029.53415553409</v>
      </c>
      <c r="W88" s="30">
        <f t="shared" si="12"/>
        <v>45957.498176341876</v>
      </c>
      <c r="X88" s="30">
        <f t="shared" si="14"/>
        <v>45957.498176341876</v>
      </c>
      <c r="Y88" s="30">
        <f t="shared" si="15"/>
        <v>2757.4498905805126</v>
      </c>
    </row>
    <row r="89" spans="1:25" x14ac:dyDescent="0.15">
      <c r="A89" s="7">
        <v>1085</v>
      </c>
      <c r="B89" s="19">
        <v>45471</v>
      </c>
      <c r="C89" s="7">
        <v>360</v>
      </c>
      <c r="D89" s="19">
        <v>45747</v>
      </c>
      <c r="E89" s="7">
        <v>9</v>
      </c>
      <c r="F89" s="29">
        <v>301053</v>
      </c>
      <c r="G89" s="29">
        <v>285785.17377740657</v>
      </c>
      <c r="H89" s="29">
        <v>354180</v>
      </c>
      <c r="I89" s="7">
        <v>85</v>
      </c>
      <c r="J89" s="7" t="s">
        <v>74</v>
      </c>
      <c r="K89" s="7">
        <v>720</v>
      </c>
      <c r="L89" s="7">
        <v>16</v>
      </c>
      <c r="M89" s="7" t="s">
        <v>59</v>
      </c>
      <c r="N89" s="10">
        <v>5.4314758194350207E-2</v>
      </c>
      <c r="O89" s="7">
        <v>0.12</v>
      </c>
      <c r="P89" s="7">
        <v>0.45</v>
      </c>
      <c r="R89" s="30">
        <f t="shared" si="13"/>
        <v>1354.7385000000002</v>
      </c>
      <c r="S89" s="7" t="str">
        <f t="shared" si="8"/>
        <v>80-85</v>
      </c>
      <c r="T89" s="7" t="str">
        <f t="shared" si="9"/>
        <v>700-750</v>
      </c>
      <c r="U89" s="31">
        <f t="shared" si="10"/>
        <v>2.5000000000000001E-2</v>
      </c>
      <c r="V89" s="30">
        <f t="shared" si="11"/>
        <v>36008.931895953232</v>
      </c>
      <c r="W89" s="30">
        <f t="shared" si="12"/>
        <v>-978.56753372307867</v>
      </c>
      <c r="X89" s="30">
        <f t="shared" si="14"/>
        <v>0</v>
      </c>
      <c r="Y89" s="30">
        <f t="shared" si="15"/>
        <v>0</v>
      </c>
    </row>
    <row r="90" spans="1:25" x14ac:dyDescent="0.15">
      <c r="A90" s="7">
        <v>1086</v>
      </c>
      <c r="B90" s="19">
        <v>45424</v>
      </c>
      <c r="C90" s="7">
        <v>360</v>
      </c>
      <c r="D90" s="19">
        <v>45747</v>
      </c>
      <c r="E90" s="7">
        <v>10</v>
      </c>
      <c r="F90" s="29">
        <v>589873</v>
      </c>
      <c r="G90" s="29">
        <v>555110.29738568992</v>
      </c>
      <c r="H90" s="29">
        <v>737341.25</v>
      </c>
      <c r="I90" s="7">
        <v>80</v>
      </c>
      <c r="J90" s="7" t="s">
        <v>67</v>
      </c>
      <c r="K90" s="7">
        <v>782</v>
      </c>
      <c r="L90" s="7">
        <v>45</v>
      </c>
      <c r="M90" s="7" t="s">
        <v>59</v>
      </c>
      <c r="N90" s="10">
        <v>5.8403520826182477E-2</v>
      </c>
      <c r="O90" s="7">
        <v>0.12</v>
      </c>
      <c r="P90" s="7">
        <v>0.42</v>
      </c>
      <c r="R90" s="30">
        <f t="shared" si="13"/>
        <v>2477.4666000000002</v>
      </c>
      <c r="S90" s="7" t="str">
        <f t="shared" si="8"/>
        <v>80-85</v>
      </c>
      <c r="T90" s="7" t="str">
        <f t="shared" si="9"/>
        <v>750-800</v>
      </c>
      <c r="U90" s="31">
        <f t="shared" si="10"/>
        <v>0.02</v>
      </c>
      <c r="V90" s="30">
        <f t="shared" si="11"/>
        <v>69943.89747059693</v>
      </c>
      <c r="W90" s="30">
        <f t="shared" si="12"/>
        <v>-43874.250245025614</v>
      </c>
      <c r="X90" s="30">
        <f t="shared" si="14"/>
        <v>0</v>
      </c>
      <c r="Y90" s="30">
        <f t="shared" si="15"/>
        <v>0</v>
      </c>
    </row>
    <row r="91" spans="1:25" x14ac:dyDescent="0.15">
      <c r="A91" s="7">
        <v>1087</v>
      </c>
      <c r="B91" s="19">
        <v>45459</v>
      </c>
      <c r="C91" s="7">
        <v>360</v>
      </c>
      <c r="D91" s="19">
        <v>45747</v>
      </c>
      <c r="E91" s="7">
        <v>9</v>
      </c>
      <c r="F91" s="29">
        <v>782992</v>
      </c>
      <c r="G91" s="29">
        <v>732127.80337868445</v>
      </c>
      <c r="H91" s="29">
        <v>889763.63636363635</v>
      </c>
      <c r="I91" s="7">
        <v>88</v>
      </c>
      <c r="J91" s="7" t="s">
        <v>73</v>
      </c>
      <c r="K91" s="7">
        <v>797</v>
      </c>
      <c r="L91" s="7">
        <v>27</v>
      </c>
      <c r="M91" s="7" t="s">
        <v>59</v>
      </c>
      <c r="N91" s="10">
        <v>7.8277499582221979E-2</v>
      </c>
      <c r="O91" s="7">
        <v>0.12</v>
      </c>
      <c r="P91" s="7">
        <v>0.43</v>
      </c>
      <c r="R91" s="30">
        <f t="shared" si="13"/>
        <v>3366.8656000000001</v>
      </c>
      <c r="S91" s="7" t="str">
        <f t="shared" si="8"/>
        <v>85-90</v>
      </c>
      <c r="T91" s="7" t="str">
        <f t="shared" si="9"/>
        <v>750-800</v>
      </c>
      <c r="U91" s="31">
        <f t="shared" si="10"/>
        <v>0.02</v>
      </c>
      <c r="V91" s="30">
        <f t="shared" si="11"/>
        <v>92248.103225714236</v>
      </c>
      <c r="W91" s="30">
        <f t="shared" si="12"/>
        <v>12435.102638527867</v>
      </c>
      <c r="X91" s="30">
        <f t="shared" si="14"/>
        <v>12435.102638527867</v>
      </c>
      <c r="Y91" s="30">
        <f t="shared" si="15"/>
        <v>248.70205277055734</v>
      </c>
    </row>
    <row r="92" spans="1:25" x14ac:dyDescent="0.15">
      <c r="A92" s="7">
        <v>1088</v>
      </c>
      <c r="B92" s="19">
        <v>45303</v>
      </c>
      <c r="C92" s="7">
        <v>360</v>
      </c>
      <c r="D92" s="19">
        <v>45747</v>
      </c>
      <c r="E92" s="7">
        <v>14</v>
      </c>
      <c r="F92" s="29">
        <v>464958</v>
      </c>
      <c r="G92" s="29">
        <v>418062.02334297379</v>
      </c>
      <c r="H92" s="29">
        <v>567021.95121951227</v>
      </c>
      <c r="I92" s="7">
        <v>82</v>
      </c>
      <c r="J92" s="7" t="s">
        <v>71</v>
      </c>
      <c r="K92" s="7">
        <v>643</v>
      </c>
      <c r="L92" s="7">
        <v>21</v>
      </c>
      <c r="M92" s="7" t="s">
        <v>59</v>
      </c>
      <c r="N92" s="10">
        <v>7.8081297325870047E-2</v>
      </c>
      <c r="O92" s="7">
        <v>0.12</v>
      </c>
      <c r="P92" s="7">
        <v>0.25</v>
      </c>
      <c r="R92" s="30">
        <f t="shared" si="13"/>
        <v>1162.395</v>
      </c>
      <c r="S92" s="7" t="str">
        <f t="shared" si="8"/>
        <v>80-85</v>
      </c>
      <c r="T92" s="7" t="str">
        <f t="shared" si="9"/>
        <v>&lt; 650</v>
      </c>
      <c r="U92" s="31">
        <f t="shared" si="10"/>
        <v>0.04</v>
      </c>
      <c r="V92" s="30">
        <f t="shared" si="11"/>
        <v>52675.814941214703</v>
      </c>
      <c r="W92" s="30">
        <f t="shared" si="12"/>
        <v>-43003.534026462876</v>
      </c>
      <c r="X92" s="30">
        <f t="shared" si="14"/>
        <v>0</v>
      </c>
      <c r="Y92" s="30">
        <f t="shared" si="15"/>
        <v>0</v>
      </c>
    </row>
    <row r="93" spans="1:25" x14ac:dyDescent="0.15">
      <c r="A93" s="7">
        <v>1089</v>
      </c>
      <c r="B93" s="19">
        <v>45422</v>
      </c>
      <c r="C93" s="7">
        <v>360</v>
      </c>
      <c r="D93" s="19">
        <v>45747</v>
      </c>
      <c r="E93" s="7">
        <v>10</v>
      </c>
      <c r="F93" s="29">
        <v>109816</v>
      </c>
      <c r="G93" s="29">
        <v>102897.76761847378</v>
      </c>
      <c r="H93" s="29">
        <v>137270</v>
      </c>
      <c r="I93" s="7">
        <v>80</v>
      </c>
      <c r="J93" s="7" t="s">
        <v>70</v>
      </c>
      <c r="K93" s="7">
        <v>735</v>
      </c>
      <c r="L93" s="7">
        <v>9</v>
      </c>
      <c r="M93" s="7" t="s">
        <v>59</v>
      </c>
      <c r="N93" s="10">
        <v>6.4682892559629723E-2</v>
      </c>
      <c r="O93" s="7">
        <v>0.12</v>
      </c>
      <c r="P93" s="7">
        <v>0.45</v>
      </c>
      <c r="R93" s="30">
        <f t="shared" si="13"/>
        <v>494.17200000000003</v>
      </c>
      <c r="S93" s="7" t="str">
        <f t="shared" si="8"/>
        <v>80-85</v>
      </c>
      <c r="T93" s="7" t="str">
        <f t="shared" si="9"/>
        <v>700-750</v>
      </c>
      <c r="U93" s="31">
        <f t="shared" si="10"/>
        <v>2.5000000000000001E-2</v>
      </c>
      <c r="V93" s="30">
        <f t="shared" si="11"/>
        <v>12965.118719927696</v>
      </c>
      <c r="W93" s="30">
        <f t="shared" si="12"/>
        <v>-8636.8440006025339</v>
      </c>
      <c r="X93" s="30">
        <f t="shared" si="14"/>
        <v>0</v>
      </c>
      <c r="Y93" s="30">
        <f t="shared" si="15"/>
        <v>0</v>
      </c>
    </row>
    <row r="94" spans="1:25" x14ac:dyDescent="0.15">
      <c r="A94" s="7">
        <v>1090</v>
      </c>
      <c r="B94" s="19">
        <v>45380</v>
      </c>
      <c r="C94" s="7">
        <v>360</v>
      </c>
      <c r="D94" s="19">
        <v>45747</v>
      </c>
      <c r="E94" s="7">
        <v>12</v>
      </c>
      <c r="F94" s="29">
        <v>420762</v>
      </c>
      <c r="G94" s="29">
        <v>391337.74579665356</v>
      </c>
      <c r="H94" s="29">
        <v>442907.36842105264</v>
      </c>
      <c r="I94" s="7">
        <v>95</v>
      </c>
      <c r="J94" s="7" t="s">
        <v>65</v>
      </c>
      <c r="K94" s="7">
        <v>666</v>
      </c>
      <c r="L94" s="7">
        <v>17</v>
      </c>
      <c r="M94" s="7" t="s">
        <v>59</v>
      </c>
      <c r="N94" s="10">
        <v>5.7371575421640598E-2</v>
      </c>
      <c r="O94" s="7">
        <v>0.3</v>
      </c>
      <c r="P94" s="7">
        <v>0.24</v>
      </c>
      <c r="R94" s="30">
        <f t="shared" si="13"/>
        <v>1009.8287999999999</v>
      </c>
      <c r="S94" s="7" t="str">
        <f t="shared" si="8"/>
        <v>90-95</v>
      </c>
      <c r="T94" s="7" t="str">
        <f t="shared" si="9"/>
        <v>650-700</v>
      </c>
      <c r="U94" s="31">
        <f t="shared" si="10"/>
        <v>7.0000000000000007E-2</v>
      </c>
      <c r="V94" s="30">
        <f t="shared" si="11"/>
        <v>123271.38992594587</v>
      </c>
      <c r="W94" s="30">
        <f t="shared" si="12"/>
        <v>34433.369928591535</v>
      </c>
      <c r="X94" s="30">
        <f t="shared" si="14"/>
        <v>34433.369928591535</v>
      </c>
      <c r="Y94" s="30">
        <f t="shared" si="15"/>
        <v>2410.3358950014076</v>
      </c>
    </row>
    <row r="95" spans="1:25" x14ac:dyDescent="0.15">
      <c r="A95" s="7">
        <v>1091</v>
      </c>
      <c r="B95" s="19">
        <v>45341</v>
      </c>
      <c r="C95" s="7">
        <v>360</v>
      </c>
      <c r="D95" s="19">
        <v>45747</v>
      </c>
      <c r="E95" s="7">
        <v>13</v>
      </c>
      <c r="F95" s="29">
        <v>222783</v>
      </c>
      <c r="G95" s="29">
        <v>203630.79650524969</v>
      </c>
      <c r="H95" s="29">
        <v>244816.48351648351</v>
      </c>
      <c r="I95" s="7">
        <v>91</v>
      </c>
      <c r="J95" s="7" t="s">
        <v>73</v>
      </c>
      <c r="K95" s="7">
        <v>666</v>
      </c>
      <c r="L95" s="7">
        <v>1</v>
      </c>
      <c r="M95" s="7" t="s">
        <v>59</v>
      </c>
      <c r="N95" s="10">
        <v>6.9402136578123524E-2</v>
      </c>
      <c r="O95" s="7">
        <v>0.25</v>
      </c>
      <c r="P95" s="7">
        <v>0.22</v>
      </c>
      <c r="R95" s="30">
        <f t="shared" si="13"/>
        <v>490.12260000000003</v>
      </c>
      <c r="S95" s="7" t="str">
        <f t="shared" si="8"/>
        <v>90-95</v>
      </c>
      <c r="T95" s="7" t="str">
        <f t="shared" si="9"/>
        <v>650-700</v>
      </c>
      <c r="U95" s="31">
        <f t="shared" si="10"/>
        <v>7.0000000000000007E-2</v>
      </c>
      <c r="V95" s="30">
        <f t="shared" si="11"/>
        <v>53453.084082628047</v>
      </c>
      <c r="W95" s="30">
        <f t="shared" si="12"/>
        <v>5718.325341501215</v>
      </c>
      <c r="X95" s="30">
        <f t="shared" si="14"/>
        <v>5718.325341501215</v>
      </c>
      <c r="Y95" s="30">
        <f t="shared" si="15"/>
        <v>400.28277390508509</v>
      </c>
    </row>
    <row r="96" spans="1:25" x14ac:dyDescent="0.15">
      <c r="A96" s="7">
        <v>1092</v>
      </c>
      <c r="B96" s="19">
        <v>45446</v>
      </c>
      <c r="C96" s="7">
        <v>360</v>
      </c>
      <c r="D96" s="19">
        <v>45747</v>
      </c>
      <c r="E96" s="7">
        <v>9</v>
      </c>
      <c r="F96" s="29">
        <v>564986</v>
      </c>
      <c r="G96" s="29">
        <v>531966.59552682703</v>
      </c>
      <c r="H96" s="29">
        <v>594722.10526315798</v>
      </c>
      <c r="I96" s="7">
        <v>95</v>
      </c>
      <c r="J96" s="7" t="s">
        <v>65</v>
      </c>
      <c r="K96" s="7">
        <v>731</v>
      </c>
      <c r="L96" s="7">
        <v>29</v>
      </c>
      <c r="M96" s="7" t="s">
        <v>59</v>
      </c>
      <c r="N96" s="10">
        <v>6.7615380833894026E-2</v>
      </c>
      <c r="O96" s="7">
        <v>0.3</v>
      </c>
      <c r="P96" s="7">
        <v>0.21</v>
      </c>
      <c r="R96" s="30">
        <f t="shared" si="13"/>
        <v>1186.4705999999999</v>
      </c>
      <c r="S96" s="7" t="str">
        <f t="shared" si="8"/>
        <v>90-95</v>
      </c>
      <c r="T96" s="7" t="str">
        <f t="shared" si="9"/>
        <v>700-750</v>
      </c>
      <c r="U96" s="31">
        <f t="shared" si="10"/>
        <v>0.06</v>
      </c>
      <c r="V96" s="30">
        <f t="shared" si="11"/>
        <v>167569.4775909505</v>
      </c>
      <c r="W96" s="30">
        <f t="shared" si="12"/>
        <v>53051.13582948409</v>
      </c>
      <c r="X96" s="30">
        <f t="shared" si="14"/>
        <v>53051.13582948409</v>
      </c>
      <c r="Y96" s="30">
        <f t="shared" si="15"/>
        <v>3183.0681497690452</v>
      </c>
    </row>
    <row r="97" spans="1:25" x14ac:dyDescent="0.15">
      <c r="A97" s="7">
        <v>1093</v>
      </c>
      <c r="B97" s="19">
        <v>45466</v>
      </c>
      <c r="C97" s="7">
        <v>360</v>
      </c>
      <c r="D97" s="19">
        <v>45747</v>
      </c>
      <c r="E97" s="7">
        <v>9</v>
      </c>
      <c r="F97" s="29">
        <v>320280</v>
      </c>
      <c r="G97" s="29">
        <v>302802.29690439894</v>
      </c>
      <c r="H97" s="29">
        <v>359865.16853932582</v>
      </c>
      <c r="I97" s="7">
        <v>89</v>
      </c>
      <c r="J97" s="7" t="s">
        <v>63</v>
      </c>
      <c r="K97" s="7">
        <v>777</v>
      </c>
      <c r="L97" s="7">
        <v>10</v>
      </c>
      <c r="M97" s="7" t="s">
        <v>59</v>
      </c>
      <c r="N97" s="10">
        <v>6.105253243549378E-2</v>
      </c>
      <c r="O97" s="7">
        <v>0.12</v>
      </c>
      <c r="P97" s="7">
        <v>0.42</v>
      </c>
      <c r="R97" s="30">
        <f t="shared" si="13"/>
        <v>1345.1760000000002</v>
      </c>
      <c r="S97" s="7" t="str">
        <f t="shared" si="8"/>
        <v>85-90</v>
      </c>
      <c r="T97" s="7" t="str">
        <f t="shared" si="9"/>
        <v>750-800</v>
      </c>
      <c r="U97" s="31">
        <f t="shared" si="10"/>
        <v>0.02</v>
      </c>
      <c r="V97" s="30">
        <f t="shared" si="11"/>
        <v>38153.089409954264</v>
      </c>
      <c r="W97" s="30">
        <f t="shared" si="12"/>
        <v>12057.018491191964</v>
      </c>
      <c r="X97" s="30">
        <f t="shared" si="14"/>
        <v>12057.018491191964</v>
      </c>
      <c r="Y97" s="30">
        <f t="shared" si="15"/>
        <v>241.14036982383928</v>
      </c>
    </row>
    <row r="98" spans="1:25" x14ac:dyDescent="0.15">
      <c r="A98" s="7">
        <v>1094</v>
      </c>
      <c r="B98" s="19">
        <v>45325</v>
      </c>
      <c r="C98" s="7">
        <v>360</v>
      </c>
      <c r="D98" s="19">
        <v>45747</v>
      </c>
      <c r="E98" s="7">
        <v>13</v>
      </c>
      <c r="F98" s="29">
        <v>330105</v>
      </c>
      <c r="G98" s="29">
        <v>300383.07312049589</v>
      </c>
      <c r="H98" s="29">
        <v>343859.375</v>
      </c>
      <c r="I98" s="7">
        <v>96</v>
      </c>
      <c r="J98" s="7" t="s">
        <v>66</v>
      </c>
      <c r="K98" s="7">
        <v>842</v>
      </c>
      <c r="L98" s="7">
        <v>18</v>
      </c>
      <c r="M98" s="7" t="s">
        <v>59</v>
      </c>
      <c r="N98" s="10">
        <v>7.4032047473658644E-2</v>
      </c>
      <c r="O98" s="7">
        <v>0.3</v>
      </c>
      <c r="P98" s="7">
        <v>0.35</v>
      </c>
      <c r="R98" s="30">
        <f t="shared" si="13"/>
        <v>1155.3674999999998</v>
      </c>
      <c r="S98" s="7" t="str">
        <f t="shared" si="8"/>
        <v>&gt; 95</v>
      </c>
      <c r="T98" s="7" t="str">
        <f t="shared" si="9"/>
        <v>&gt; 800</v>
      </c>
      <c r="U98" s="31">
        <f t="shared" si="10"/>
        <v>0.05</v>
      </c>
      <c r="V98" s="30">
        <f t="shared" si="11"/>
        <v>94620.668032956208</v>
      </c>
      <c r="W98" s="30">
        <f t="shared" si="12"/>
        <v>23121.758026520722</v>
      </c>
      <c r="X98" s="30">
        <f t="shared" si="14"/>
        <v>23121.758026520722</v>
      </c>
      <c r="Y98" s="30">
        <f t="shared" si="15"/>
        <v>1156.0879013260362</v>
      </c>
    </row>
    <row r="99" spans="1:25" x14ac:dyDescent="0.15">
      <c r="A99" s="7">
        <v>1095</v>
      </c>
      <c r="B99" s="19">
        <v>45357</v>
      </c>
      <c r="C99" s="7">
        <v>360</v>
      </c>
      <c r="D99" s="19">
        <v>45747</v>
      </c>
      <c r="E99" s="7">
        <v>12</v>
      </c>
      <c r="F99" s="29">
        <v>500321</v>
      </c>
      <c r="G99" s="29">
        <v>460621.93218125042</v>
      </c>
      <c r="H99" s="29">
        <v>555912.22222222225</v>
      </c>
      <c r="I99" s="7">
        <v>90</v>
      </c>
      <c r="J99" s="7" t="s">
        <v>69</v>
      </c>
      <c r="K99" s="7">
        <v>823</v>
      </c>
      <c r="L99" s="7">
        <v>21</v>
      </c>
      <c r="M99" s="7" t="s">
        <v>59</v>
      </c>
      <c r="N99" s="10">
        <v>6.9392360325560745E-2</v>
      </c>
      <c r="O99" s="7">
        <v>0.25</v>
      </c>
      <c r="P99" s="7">
        <v>0.36</v>
      </c>
      <c r="R99" s="30">
        <f t="shared" si="13"/>
        <v>1801.1556</v>
      </c>
      <c r="S99" s="7" t="str">
        <f t="shared" si="8"/>
        <v>85-90</v>
      </c>
      <c r="T99" s="7" t="str">
        <f t="shared" si="9"/>
        <v>&gt; 800</v>
      </c>
      <c r="U99" s="31">
        <f t="shared" si="10"/>
        <v>0.01</v>
      </c>
      <c r="V99" s="30">
        <f t="shared" si="11"/>
        <v>120913.25719757823</v>
      </c>
      <c r="W99" s="30">
        <f t="shared" si="12"/>
        <v>11127.63990142406</v>
      </c>
      <c r="X99" s="30">
        <f t="shared" si="14"/>
        <v>11127.63990142406</v>
      </c>
      <c r="Y99" s="30">
        <f t="shared" si="15"/>
        <v>111.2763990142406</v>
      </c>
    </row>
    <row r="100" spans="1:25" x14ac:dyDescent="0.15">
      <c r="A100" s="7">
        <v>1096</v>
      </c>
      <c r="B100" s="19">
        <v>45461</v>
      </c>
      <c r="C100" s="7">
        <v>360</v>
      </c>
      <c r="D100" s="19">
        <v>45747</v>
      </c>
      <c r="E100" s="7">
        <v>9</v>
      </c>
      <c r="F100" s="29">
        <v>239360</v>
      </c>
      <c r="G100" s="29">
        <v>224893.66571717724</v>
      </c>
      <c r="H100" s="29">
        <v>257376.34408602151</v>
      </c>
      <c r="I100" s="7">
        <v>93</v>
      </c>
      <c r="J100" s="7" t="s">
        <v>60</v>
      </c>
      <c r="K100" s="7">
        <v>796</v>
      </c>
      <c r="L100" s="7">
        <v>2</v>
      </c>
      <c r="M100" s="7" t="s">
        <v>59</v>
      </c>
      <c r="N100" s="10">
        <v>7.0925315100458061E-2</v>
      </c>
      <c r="O100" s="7">
        <v>0.25</v>
      </c>
      <c r="P100" s="7">
        <v>0.39</v>
      </c>
      <c r="R100" s="30">
        <f t="shared" si="13"/>
        <v>933.50400000000013</v>
      </c>
      <c r="S100" s="7" t="str">
        <f t="shared" si="8"/>
        <v>90-95</v>
      </c>
      <c r="T100" s="7" t="str">
        <f t="shared" si="9"/>
        <v>750-800</v>
      </c>
      <c r="U100" s="31">
        <f t="shared" si="10"/>
        <v>0.05</v>
      </c>
      <c r="V100" s="30">
        <f t="shared" si="11"/>
        <v>59034.587250759025</v>
      </c>
      <c r="W100" s="30">
        <f t="shared" si="12"/>
        <v>17368.456529917836</v>
      </c>
      <c r="X100" s="30">
        <f t="shared" si="14"/>
        <v>17368.456529917836</v>
      </c>
      <c r="Y100" s="30">
        <f t="shared" si="15"/>
        <v>868.42282649589185</v>
      </c>
    </row>
    <row r="101" spans="1:25" x14ac:dyDescent="0.15">
      <c r="A101" s="7">
        <v>1097</v>
      </c>
      <c r="B101" s="19">
        <v>45442</v>
      </c>
      <c r="C101" s="7">
        <v>360</v>
      </c>
      <c r="D101" s="19">
        <v>45747</v>
      </c>
      <c r="E101" s="7">
        <v>10</v>
      </c>
      <c r="F101" s="29">
        <v>595411</v>
      </c>
      <c r="G101" s="29">
        <v>557419.24270799628</v>
      </c>
      <c r="H101" s="29">
        <v>744263.75</v>
      </c>
      <c r="I101" s="7">
        <v>80</v>
      </c>
      <c r="J101" s="7" t="s">
        <v>68</v>
      </c>
      <c r="K101" s="7">
        <v>812</v>
      </c>
      <c r="L101" s="7">
        <v>37</v>
      </c>
      <c r="M101" s="7" t="s">
        <v>59</v>
      </c>
      <c r="N101" s="10">
        <v>6.591177112840936E-2</v>
      </c>
      <c r="O101" s="7">
        <v>0.12</v>
      </c>
      <c r="P101" s="7">
        <v>0.21</v>
      </c>
      <c r="R101" s="30">
        <f t="shared" si="13"/>
        <v>1250.3631</v>
      </c>
      <c r="S101" s="7" t="str">
        <f t="shared" si="8"/>
        <v>80-85</v>
      </c>
      <c r="T101" s="7" t="str">
        <f t="shared" si="9"/>
        <v>&gt; 800</v>
      </c>
      <c r="U101" s="31">
        <f t="shared" si="10"/>
        <v>0.01</v>
      </c>
      <c r="V101" s="30">
        <f t="shared" si="11"/>
        <v>70234.824581207533</v>
      </c>
      <c r="W101" s="30">
        <f t="shared" si="12"/>
        <v>-47333.982656603912</v>
      </c>
      <c r="X101" s="30">
        <f t="shared" si="14"/>
        <v>0</v>
      </c>
      <c r="Y101" s="30">
        <f t="shared" si="15"/>
        <v>0</v>
      </c>
    </row>
    <row r="102" spans="1:25" x14ac:dyDescent="0.15">
      <c r="A102" s="7">
        <v>1098</v>
      </c>
      <c r="B102" s="19">
        <v>45367</v>
      </c>
      <c r="C102" s="7">
        <v>360</v>
      </c>
      <c r="D102" s="19">
        <v>45747</v>
      </c>
      <c r="E102" s="7">
        <v>12</v>
      </c>
      <c r="F102" s="29">
        <v>639856</v>
      </c>
      <c r="G102" s="29">
        <v>590718.55082579458</v>
      </c>
      <c r="H102" s="29">
        <v>752771.76470588241</v>
      </c>
      <c r="I102" s="7">
        <v>85</v>
      </c>
      <c r="J102" s="7" t="s">
        <v>67</v>
      </c>
      <c r="K102" s="7">
        <v>771</v>
      </c>
      <c r="L102" s="7">
        <v>5</v>
      </c>
      <c r="M102" s="7" t="s">
        <v>59</v>
      </c>
      <c r="N102" s="10">
        <v>6.6196087371546017E-2</v>
      </c>
      <c r="O102" s="7">
        <v>0.12</v>
      </c>
      <c r="P102" s="7">
        <v>0.37</v>
      </c>
      <c r="R102" s="30">
        <f t="shared" si="13"/>
        <v>2367.4672</v>
      </c>
      <c r="S102" s="7" t="str">
        <f t="shared" si="8"/>
        <v>80-85</v>
      </c>
      <c r="T102" s="7" t="str">
        <f t="shared" si="9"/>
        <v>750-800</v>
      </c>
      <c r="U102" s="31">
        <f t="shared" si="10"/>
        <v>0.02</v>
      </c>
      <c r="V102" s="30">
        <f t="shared" si="11"/>
        <v>74430.537404050105</v>
      </c>
      <c r="W102" s="30">
        <f t="shared" si="12"/>
        <v>-19601.521632915712</v>
      </c>
      <c r="X102" s="30">
        <f t="shared" si="14"/>
        <v>0</v>
      </c>
      <c r="Y102" s="30">
        <f t="shared" si="15"/>
        <v>0</v>
      </c>
    </row>
    <row r="103" spans="1:25" x14ac:dyDescent="0.15">
      <c r="A103" s="7">
        <v>1099</v>
      </c>
      <c r="B103" s="19">
        <v>45358</v>
      </c>
      <c r="C103" s="7">
        <v>360</v>
      </c>
      <c r="D103" s="19">
        <v>45747</v>
      </c>
      <c r="E103" s="7">
        <v>12</v>
      </c>
      <c r="F103" s="29">
        <v>254248</v>
      </c>
      <c r="G103" s="29">
        <v>232943.83174265933</v>
      </c>
      <c r="H103" s="29">
        <v>306322.89156626508</v>
      </c>
      <c r="I103" s="7">
        <v>83</v>
      </c>
      <c r="J103" s="7" t="s">
        <v>63</v>
      </c>
      <c r="K103" s="7">
        <v>659</v>
      </c>
      <c r="L103" s="7">
        <v>49</v>
      </c>
      <c r="M103" s="7" t="s">
        <v>59</v>
      </c>
      <c r="N103" s="10">
        <v>7.4862595931486461E-2</v>
      </c>
      <c r="O103" s="7">
        <v>0.12</v>
      </c>
      <c r="P103" s="7">
        <v>0.33</v>
      </c>
      <c r="R103" s="30">
        <f t="shared" si="13"/>
        <v>839.01840000000016</v>
      </c>
      <c r="S103" s="7" t="str">
        <f t="shared" si="8"/>
        <v>80-85</v>
      </c>
      <c r="T103" s="7" t="str">
        <f t="shared" si="9"/>
        <v>650-700</v>
      </c>
      <c r="U103" s="31">
        <f t="shared" si="10"/>
        <v>0.03</v>
      </c>
      <c r="V103" s="30">
        <f t="shared" si="11"/>
        <v>29350.922799575077</v>
      </c>
      <c r="W103" s="30">
        <f t="shared" si="12"/>
        <v>-15783.434501532989</v>
      </c>
      <c r="X103" s="30">
        <f t="shared" si="14"/>
        <v>0</v>
      </c>
      <c r="Y103" s="30">
        <f t="shared" si="15"/>
        <v>0</v>
      </c>
    </row>
    <row r="104" spans="1:25" x14ac:dyDescent="0.15">
      <c r="A104" s="7">
        <v>1100</v>
      </c>
      <c r="B104" s="19">
        <v>45366</v>
      </c>
      <c r="C104" s="7">
        <v>360</v>
      </c>
      <c r="D104" s="19">
        <v>45747</v>
      </c>
      <c r="E104" s="7">
        <v>12</v>
      </c>
      <c r="F104" s="29">
        <v>461436</v>
      </c>
      <c r="G104" s="29">
        <v>429456.6903961635</v>
      </c>
      <c r="H104" s="29">
        <v>555946.98795180721</v>
      </c>
      <c r="I104" s="7">
        <v>83</v>
      </c>
      <c r="J104" s="7" t="s">
        <v>70</v>
      </c>
      <c r="K104" s="7">
        <v>702</v>
      </c>
      <c r="L104" s="7">
        <v>41</v>
      </c>
      <c r="M104" s="7" t="s">
        <v>59</v>
      </c>
      <c r="N104" s="10">
        <v>5.6546917851553982E-2</v>
      </c>
      <c r="O104" s="7">
        <v>0.12</v>
      </c>
      <c r="P104" s="7">
        <v>0.36</v>
      </c>
      <c r="R104" s="30">
        <f t="shared" si="13"/>
        <v>1661.1695999999999</v>
      </c>
      <c r="S104" s="7" t="str">
        <f t="shared" si="8"/>
        <v>80-85</v>
      </c>
      <c r="T104" s="7" t="str">
        <f t="shared" si="9"/>
        <v>700-750</v>
      </c>
      <c r="U104" s="31">
        <f t="shared" si="10"/>
        <v>2.5000000000000001E-2</v>
      </c>
      <c r="V104" s="30">
        <f t="shared" si="11"/>
        <v>54111.542989916597</v>
      </c>
      <c r="W104" s="30">
        <f t="shared" si="12"/>
        <v>-21625.414843064442</v>
      </c>
      <c r="X104" s="30">
        <f t="shared" si="14"/>
        <v>0</v>
      </c>
      <c r="Y104" s="30">
        <f t="shared" si="15"/>
        <v>0</v>
      </c>
    </row>
    <row r="105" spans="1:25" x14ac:dyDescent="0.15">
      <c r="A105" s="7">
        <v>1101</v>
      </c>
      <c r="B105" s="19">
        <v>45441</v>
      </c>
      <c r="C105" s="7">
        <v>360</v>
      </c>
      <c r="D105" s="19">
        <v>45747</v>
      </c>
      <c r="E105" s="7">
        <v>10</v>
      </c>
      <c r="F105" s="29">
        <v>421864</v>
      </c>
      <c r="G105" s="29">
        <v>398306.78601871978</v>
      </c>
      <c r="H105" s="29">
        <v>484901.14942528738</v>
      </c>
      <c r="I105" s="7">
        <v>87</v>
      </c>
      <c r="J105" s="7" t="s">
        <v>66</v>
      </c>
      <c r="K105" s="7">
        <v>675</v>
      </c>
      <c r="L105" s="7">
        <v>26</v>
      </c>
      <c r="M105" s="7" t="s">
        <v>59</v>
      </c>
      <c r="N105" s="10">
        <v>5.3499050062578067E-2</v>
      </c>
      <c r="O105" s="7">
        <v>0.12</v>
      </c>
      <c r="P105" s="7">
        <v>0.28000000000000003</v>
      </c>
      <c r="R105" s="30">
        <f t="shared" si="13"/>
        <v>1181.2192000000002</v>
      </c>
      <c r="S105" s="7" t="str">
        <f t="shared" si="8"/>
        <v>85-90</v>
      </c>
      <c r="T105" s="7" t="str">
        <f t="shared" si="9"/>
        <v>650-700</v>
      </c>
      <c r="U105" s="31">
        <f t="shared" si="10"/>
        <v>0.04</v>
      </c>
      <c r="V105" s="30">
        <f t="shared" si="11"/>
        <v>50186.655038358695</v>
      </c>
      <c r="W105" s="30">
        <f t="shared" si="12"/>
        <v>6056.1483081615297</v>
      </c>
      <c r="X105" s="30">
        <f t="shared" si="14"/>
        <v>6056.1483081615297</v>
      </c>
      <c r="Y105" s="30">
        <f t="shared" si="15"/>
        <v>242.2459323264612</v>
      </c>
    </row>
    <row r="106" spans="1:25" x14ac:dyDescent="0.15">
      <c r="A106" s="7">
        <v>1102</v>
      </c>
      <c r="B106" s="19">
        <v>45334</v>
      </c>
      <c r="C106" s="7">
        <v>360</v>
      </c>
      <c r="D106" s="19">
        <v>45747</v>
      </c>
      <c r="E106" s="7">
        <v>13</v>
      </c>
      <c r="F106" s="29">
        <v>505629</v>
      </c>
      <c r="G106" s="29">
        <v>460581.33704553003</v>
      </c>
      <c r="H106" s="29">
        <v>616620.73170731706</v>
      </c>
      <c r="I106" s="7">
        <v>82</v>
      </c>
      <c r="J106" s="7" t="s">
        <v>61</v>
      </c>
      <c r="K106" s="7">
        <v>728</v>
      </c>
      <c r="L106" s="7">
        <v>37</v>
      </c>
      <c r="M106" s="7" t="s">
        <v>59</v>
      </c>
      <c r="N106" s="10">
        <v>7.2963893808609917E-2</v>
      </c>
      <c r="O106" s="7">
        <v>0.12</v>
      </c>
      <c r="P106" s="7">
        <v>0.34</v>
      </c>
      <c r="R106" s="30">
        <f t="shared" si="13"/>
        <v>1719.1386000000002</v>
      </c>
      <c r="S106" s="7" t="str">
        <f t="shared" si="8"/>
        <v>80-85</v>
      </c>
      <c r="T106" s="7" t="str">
        <f t="shared" si="9"/>
        <v>700-750</v>
      </c>
      <c r="U106" s="31">
        <f t="shared" si="10"/>
        <v>2.5000000000000001E-2</v>
      </c>
      <c r="V106" s="30">
        <f t="shared" si="11"/>
        <v>58033.248467736783</v>
      </c>
      <c r="W106" s="30">
        <f t="shared" si="12"/>
        <v>-40517.218053412973</v>
      </c>
      <c r="X106" s="30">
        <f t="shared" si="14"/>
        <v>0</v>
      </c>
      <c r="Y106" s="30">
        <f t="shared" si="15"/>
        <v>0</v>
      </c>
    </row>
    <row r="107" spans="1:25" x14ac:dyDescent="0.15">
      <c r="A107" s="7">
        <v>1103</v>
      </c>
      <c r="B107" s="19">
        <v>45332</v>
      </c>
      <c r="C107" s="7">
        <v>360</v>
      </c>
      <c r="D107" s="19">
        <v>45747</v>
      </c>
      <c r="E107" s="7">
        <v>13</v>
      </c>
      <c r="F107" s="29">
        <v>745649</v>
      </c>
      <c r="G107" s="29">
        <v>682555.09185680468</v>
      </c>
      <c r="H107" s="29">
        <v>898372.28915662656</v>
      </c>
      <c r="I107" s="7">
        <v>83</v>
      </c>
      <c r="J107" s="7" t="s">
        <v>66</v>
      </c>
      <c r="K107" s="7">
        <v>677</v>
      </c>
      <c r="L107" s="7">
        <v>39</v>
      </c>
      <c r="M107" s="7" t="s">
        <v>59</v>
      </c>
      <c r="N107" s="10">
        <v>6.7845001170147551E-2</v>
      </c>
      <c r="O107" s="7">
        <v>0.12</v>
      </c>
      <c r="P107" s="7">
        <v>0.43</v>
      </c>
      <c r="R107" s="30">
        <f t="shared" si="13"/>
        <v>3206.2907</v>
      </c>
      <c r="S107" s="7" t="str">
        <f t="shared" si="8"/>
        <v>80-85</v>
      </c>
      <c r="T107" s="7" t="str">
        <f t="shared" si="9"/>
        <v>650-700</v>
      </c>
      <c r="U107" s="31">
        <f t="shared" si="10"/>
        <v>0.03</v>
      </c>
      <c r="V107" s="30">
        <f t="shared" si="11"/>
        <v>86001.941573957389</v>
      </c>
      <c r="W107" s="30">
        <f t="shared" si="12"/>
        <v>-46933.599333487684</v>
      </c>
      <c r="X107" s="30">
        <f t="shared" si="14"/>
        <v>0</v>
      </c>
      <c r="Y107" s="30">
        <f t="shared" si="15"/>
        <v>0</v>
      </c>
    </row>
    <row r="108" spans="1:25" x14ac:dyDescent="0.15">
      <c r="A108" s="7">
        <v>1104</v>
      </c>
      <c r="B108" s="19">
        <v>45348</v>
      </c>
      <c r="C108" s="7">
        <v>360</v>
      </c>
      <c r="D108" s="19">
        <v>45747</v>
      </c>
      <c r="E108" s="7">
        <v>13</v>
      </c>
      <c r="F108" s="29">
        <v>714971</v>
      </c>
      <c r="G108" s="29">
        <v>661187.22953281482</v>
      </c>
      <c r="H108" s="29">
        <v>803338.20224719099</v>
      </c>
      <c r="I108" s="7">
        <v>89</v>
      </c>
      <c r="J108" s="7" t="s">
        <v>60</v>
      </c>
      <c r="K108" s="7">
        <v>622</v>
      </c>
      <c r="L108" s="7">
        <v>40</v>
      </c>
      <c r="M108" s="7" t="s">
        <v>59</v>
      </c>
      <c r="N108" s="10">
        <v>5.6724330705476778E-2</v>
      </c>
      <c r="O108" s="7">
        <v>0.12</v>
      </c>
      <c r="P108" s="7">
        <v>0.37</v>
      </c>
      <c r="R108" s="30">
        <f t="shared" si="13"/>
        <v>2645.3927000000003</v>
      </c>
      <c r="S108" s="7" t="str">
        <f t="shared" si="8"/>
        <v>85-90</v>
      </c>
      <c r="T108" s="7" t="str">
        <f t="shared" si="9"/>
        <v>&lt; 650</v>
      </c>
      <c r="U108" s="31">
        <f t="shared" si="10"/>
        <v>0.05</v>
      </c>
      <c r="V108" s="30">
        <f t="shared" si="11"/>
        <v>83309.590921134673</v>
      </c>
      <c r="W108" s="30">
        <f t="shared" si="12"/>
        <v>11409.119099343312</v>
      </c>
      <c r="X108" s="30">
        <f t="shared" si="14"/>
        <v>11409.119099343312</v>
      </c>
      <c r="Y108" s="30">
        <f t="shared" si="15"/>
        <v>570.45595496716567</v>
      </c>
    </row>
    <row r="109" spans="1:25" x14ac:dyDescent="0.15">
      <c r="A109" s="7">
        <v>1105</v>
      </c>
      <c r="B109" s="19">
        <v>45294</v>
      </c>
      <c r="C109" s="7">
        <v>360</v>
      </c>
      <c r="D109" s="19">
        <v>45747</v>
      </c>
      <c r="E109" s="7">
        <v>14</v>
      </c>
      <c r="F109" s="29">
        <v>197477</v>
      </c>
      <c r="G109" s="29">
        <v>179673.1681609989</v>
      </c>
      <c r="H109" s="29">
        <v>240825.60975609758</v>
      </c>
      <c r="I109" s="7">
        <v>82</v>
      </c>
      <c r="J109" s="7" t="s">
        <v>67</v>
      </c>
      <c r="K109" s="7">
        <v>640</v>
      </c>
      <c r="L109" s="7">
        <v>22</v>
      </c>
      <c r="M109" s="7" t="s">
        <v>59</v>
      </c>
      <c r="N109" s="10">
        <v>6.6803468532930579E-2</v>
      </c>
      <c r="O109" s="7">
        <v>0.12</v>
      </c>
      <c r="P109" s="7">
        <v>0.28000000000000003</v>
      </c>
      <c r="R109" s="30">
        <f t="shared" si="13"/>
        <v>552.93560000000002</v>
      </c>
      <c r="S109" s="7" t="str">
        <f t="shared" si="8"/>
        <v>80-85</v>
      </c>
      <c r="T109" s="7" t="str">
        <f t="shared" si="9"/>
        <v>&lt; 650</v>
      </c>
      <c r="U109" s="31">
        <f t="shared" si="10"/>
        <v>0.04</v>
      </c>
      <c r="V109" s="30">
        <f t="shared" si="11"/>
        <v>22638.819188285863</v>
      </c>
      <c r="W109" s="30">
        <f t="shared" si="12"/>
        <v>-16044.941723634081</v>
      </c>
      <c r="X109" s="30">
        <f t="shared" si="14"/>
        <v>0</v>
      </c>
      <c r="Y109" s="30">
        <f t="shared" si="15"/>
        <v>0</v>
      </c>
    </row>
    <row r="110" spans="1:25" x14ac:dyDescent="0.15">
      <c r="A110" s="7">
        <v>1106</v>
      </c>
      <c r="B110" s="19">
        <v>45445</v>
      </c>
      <c r="C110" s="7">
        <v>360</v>
      </c>
      <c r="D110" s="19">
        <v>45747</v>
      </c>
      <c r="E110" s="7">
        <v>9</v>
      </c>
      <c r="F110" s="29">
        <v>443212</v>
      </c>
      <c r="G110" s="29">
        <v>418640.08727796341</v>
      </c>
      <c r="H110" s="29">
        <v>533990.36144578317</v>
      </c>
      <c r="I110" s="7">
        <v>83</v>
      </c>
      <c r="J110" s="7" t="s">
        <v>62</v>
      </c>
      <c r="K110" s="7">
        <v>600</v>
      </c>
      <c r="L110" s="7">
        <v>38</v>
      </c>
      <c r="M110" s="7" t="s">
        <v>59</v>
      </c>
      <c r="N110" s="10">
        <v>6.2544400522654697E-2</v>
      </c>
      <c r="O110" s="7">
        <v>0.12</v>
      </c>
      <c r="P110" s="7">
        <v>0.27</v>
      </c>
      <c r="R110" s="30">
        <f t="shared" si="13"/>
        <v>1196.6724000000002</v>
      </c>
      <c r="S110" s="7" t="str">
        <f t="shared" si="8"/>
        <v>80-85</v>
      </c>
      <c r="T110" s="7" t="str">
        <f t="shared" si="9"/>
        <v>&lt; 650</v>
      </c>
      <c r="U110" s="31">
        <f t="shared" si="10"/>
        <v>0.04</v>
      </c>
      <c r="V110" s="30">
        <f t="shared" si="11"/>
        <v>52748.650997023389</v>
      </c>
      <c r="W110" s="30">
        <f t="shared" si="12"/>
        <v>-14319.715587054088</v>
      </c>
      <c r="X110" s="30">
        <f t="shared" si="14"/>
        <v>0</v>
      </c>
      <c r="Y110" s="30">
        <f t="shared" si="15"/>
        <v>0</v>
      </c>
    </row>
    <row r="111" spans="1:25" x14ac:dyDescent="0.15">
      <c r="A111" s="7">
        <v>1107</v>
      </c>
      <c r="B111" s="19">
        <v>45299</v>
      </c>
      <c r="C111" s="7">
        <v>360</v>
      </c>
      <c r="D111" s="19">
        <v>45747</v>
      </c>
      <c r="E111" s="7">
        <v>14</v>
      </c>
      <c r="F111" s="29">
        <v>493671</v>
      </c>
      <c r="G111" s="29">
        <v>456283.56600424577</v>
      </c>
      <c r="H111" s="29">
        <v>609470.37037037034</v>
      </c>
      <c r="I111" s="7">
        <v>81</v>
      </c>
      <c r="J111" s="7" t="s">
        <v>69</v>
      </c>
      <c r="K111" s="7">
        <v>808</v>
      </c>
      <c r="L111" s="7">
        <v>45</v>
      </c>
      <c r="M111" s="7" t="s">
        <v>59</v>
      </c>
      <c r="N111" s="10">
        <v>5.0674852476272098E-2</v>
      </c>
      <c r="O111" s="7">
        <v>0.12</v>
      </c>
      <c r="P111" s="7">
        <v>0.28000000000000003</v>
      </c>
      <c r="R111" s="30">
        <f t="shared" si="13"/>
        <v>1382.2788</v>
      </c>
      <c r="S111" s="7" t="str">
        <f t="shared" si="8"/>
        <v>80-85</v>
      </c>
      <c r="T111" s="7" t="str">
        <f t="shared" si="9"/>
        <v>&gt; 800</v>
      </c>
      <c r="U111" s="31">
        <f t="shared" si="10"/>
        <v>0.01</v>
      </c>
      <c r="V111" s="30">
        <f t="shared" si="11"/>
        <v>57491.729316534969</v>
      </c>
      <c r="W111" s="30">
        <f t="shared" si="12"/>
        <v>-38952.070510356687</v>
      </c>
      <c r="X111" s="30">
        <f t="shared" si="14"/>
        <v>0</v>
      </c>
      <c r="Y111" s="30">
        <f t="shared" si="15"/>
        <v>0</v>
      </c>
    </row>
    <row r="112" spans="1:25" x14ac:dyDescent="0.15">
      <c r="A112" s="7">
        <v>1108</v>
      </c>
      <c r="B112" s="19">
        <v>45354</v>
      </c>
      <c r="C112" s="7">
        <v>360</v>
      </c>
      <c r="D112" s="19">
        <v>45747</v>
      </c>
      <c r="E112" s="7">
        <v>12</v>
      </c>
      <c r="F112" s="29">
        <v>384367</v>
      </c>
      <c r="G112" s="29">
        <v>353201.37393371202</v>
      </c>
      <c r="H112" s="29">
        <v>457579.76190476189</v>
      </c>
      <c r="I112" s="7">
        <v>84</v>
      </c>
      <c r="J112" s="7" t="s">
        <v>65</v>
      </c>
      <c r="K112" s="7">
        <v>626</v>
      </c>
      <c r="L112" s="7">
        <v>32</v>
      </c>
      <c r="M112" s="7" t="s">
        <v>59</v>
      </c>
      <c r="N112" s="10">
        <v>7.1542155444981395E-2</v>
      </c>
      <c r="O112" s="7">
        <v>0.12</v>
      </c>
      <c r="P112" s="7">
        <v>0.36</v>
      </c>
      <c r="R112" s="30">
        <f t="shared" si="13"/>
        <v>1383.7212</v>
      </c>
      <c r="S112" s="7" t="str">
        <f t="shared" si="8"/>
        <v>80-85</v>
      </c>
      <c r="T112" s="7" t="str">
        <f t="shared" si="9"/>
        <v>&lt; 650</v>
      </c>
      <c r="U112" s="31">
        <f t="shared" si="10"/>
        <v>0.04</v>
      </c>
      <c r="V112" s="30">
        <f t="shared" si="11"/>
        <v>44503.373115647715</v>
      </c>
      <c r="W112" s="30">
        <f t="shared" si="12"/>
        <v>-18081.354988649953</v>
      </c>
      <c r="X112" s="30">
        <f t="shared" si="14"/>
        <v>0</v>
      </c>
      <c r="Y112" s="30">
        <f t="shared" si="15"/>
        <v>0</v>
      </c>
    </row>
    <row r="113" spans="1:25" x14ac:dyDescent="0.15">
      <c r="A113" s="7">
        <v>1109</v>
      </c>
      <c r="B113" s="19">
        <v>45445</v>
      </c>
      <c r="C113" s="7">
        <v>360</v>
      </c>
      <c r="D113" s="19">
        <v>45747</v>
      </c>
      <c r="E113" s="7">
        <v>9</v>
      </c>
      <c r="F113" s="29">
        <v>495085</v>
      </c>
      <c r="G113" s="29">
        <v>470411.66852044989</v>
      </c>
      <c r="H113" s="29">
        <v>538135.86956521741</v>
      </c>
      <c r="I113" s="7">
        <v>92</v>
      </c>
      <c r="J113" s="7" t="s">
        <v>71</v>
      </c>
      <c r="K113" s="7">
        <v>810</v>
      </c>
      <c r="L113" s="7">
        <v>27</v>
      </c>
      <c r="M113" s="7" t="s">
        <v>59</v>
      </c>
      <c r="N113" s="10">
        <v>5.2747799225008052E-2</v>
      </c>
      <c r="O113" s="7">
        <v>0.25</v>
      </c>
      <c r="P113" s="7">
        <v>0.31</v>
      </c>
      <c r="R113" s="30">
        <f t="shared" si="13"/>
        <v>1534.7635</v>
      </c>
      <c r="S113" s="7" t="str">
        <f t="shared" si="8"/>
        <v>90-95</v>
      </c>
      <c r="T113" s="7" t="str">
        <f t="shared" si="9"/>
        <v>&gt; 800</v>
      </c>
      <c r="U113" s="31">
        <f t="shared" si="10"/>
        <v>0.04</v>
      </c>
      <c r="V113" s="30">
        <f t="shared" si="11"/>
        <v>123483.0629866181</v>
      </c>
      <c r="W113" s="30">
        <f t="shared" si="12"/>
        <v>36516.762816037633</v>
      </c>
      <c r="X113" s="30">
        <f t="shared" si="14"/>
        <v>36516.762816037633</v>
      </c>
      <c r="Y113" s="30">
        <f t="shared" si="15"/>
        <v>1460.6705126415054</v>
      </c>
    </row>
    <row r="114" spans="1:25" x14ac:dyDescent="0.15">
      <c r="A114" s="7">
        <v>1110</v>
      </c>
      <c r="B114" s="19">
        <v>45319</v>
      </c>
      <c r="C114" s="7">
        <v>360</v>
      </c>
      <c r="D114" s="19">
        <v>45747</v>
      </c>
      <c r="E114" s="7">
        <v>14</v>
      </c>
      <c r="F114" s="29">
        <v>448585</v>
      </c>
      <c r="G114" s="29">
        <v>403823.86072580435</v>
      </c>
      <c r="H114" s="29">
        <v>521610.46511627908</v>
      </c>
      <c r="I114" s="7">
        <v>86</v>
      </c>
      <c r="J114" s="7" t="s">
        <v>67</v>
      </c>
      <c r="K114" s="7">
        <v>674</v>
      </c>
      <c r="L114" s="7">
        <v>8</v>
      </c>
      <c r="M114" s="7" t="s">
        <v>59</v>
      </c>
      <c r="N114" s="10">
        <v>7.6967416924350274E-2</v>
      </c>
      <c r="O114" s="7">
        <v>0.12</v>
      </c>
      <c r="P114" s="7">
        <v>0.33</v>
      </c>
      <c r="R114" s="30">
        <f t="shared" si="13"/>
        <v>1480.3305000000003</v>
      </c>
      <c r="S114" s="7" t="str">
        <f t="shared" si="8"/>
        <v>85-90</v>
      </c>
      <c r="T114" s="7" t="str">
        <f t="shared" si="9"/>
        <v>650-700</v>
      </c>
      <c r="U114" s="31">
        <f t="shared" si="10"/>
        <v>0.04</v>
      </c>
      <c r="V114" s="30">
        <f t="shared" si="11"/>
        <v>50881.806451451346</v>
      </c>
      <c r="W114" s="30">
        <f t="shared" si="12"/>
        <v>-19353.841586742608</v>
      </c>
      <c r="X114" s="30">
        <f t="shared" si="14"/>
        <v>0</v>
      </c>
      <c r="Y114" s="30">
        <f t="shared" si="15"/>
        <v>0</v>
      </c>
    </row>
    <row r="115" spans="1:25" x14ac:dyDescent="0.15">
      <c r="A115" s="7">
        <v>1111</v>
      </c>
      <c r="B115" s="19">
        <v>45354</v>
      </c>
      <c r="C115" s="7">
        <v>360</v>
      </c>
      <c r="D115" s="19">
        <v>45747</v>
      </c>
      <c r="E115" s="7">
        <v>12</v>
      </c>
      <c r="F115" s="29">
        <v>785538</v>
      </c>
      <c r="G115" s="29">
        <v>723721.619577882</v>
      </c>
      <c r="H115" s="29">
        <v>818268.75</v>
      </c>
      <c r="I115" s="7">
        <v>96</v>
      </c>
      <c r="J115" s="7" t="s">
        <v>69</v>
      </c>
      <c r="K115" s="7">
        <v>674</v>
      </c>
      <c r="L115" s="7">
        <v>40</v>
      </c>
      <c r="M115" s="7" t="s">
        <v>59</v>
      </c>
      <c r="N115" s="10">
        <v>6.8577320882272655E-2</v>
      </c>
      <c r="O115" s="7">
        <v>0.3</v>
      </c>
      <c r="P115" s="7">
        <v>0.24</v>
      </c>
      <c r="R115" s="30">
        <f t="shared" si="13"/>
        <v>1885.2911999999999</v>
      </c>
      <c r="S115" s="7" t="str">
        <f t="shared" si="8"/>
        <v>&gt; 95</v>
      </c>
      <c r="T115" s="7" t="str">
        <f t="shared" si="9"/>
        <v>650-700</v>
      </c>
      <c r="U115" s="31">
        <f t="shared" si="10"/>
        <v>0.08</v>
      </c>
      <c r="V115" s="30">
        <f t="shared" si="11"/>
        <v>227972.31016703285</v>
      </c>
      <c r="W115" s="30">
        <f t="shared" si="12"/>
        <v>64379.263056776137</v>
      </c>
      <c r="X115" s="30">
        <f t="shared" si="14"/>
        <v>64379.263056776137</v>
      </c>
      <c r="Y115" s="30">
        <f t="shared" si="15"/>
        <v>5150.3410445420914</v>
      </c>
    </row>
    <row r="116" spans="1:25" x14ac:dyDescent="0.15">
      <c r="A116" s="7">
        <v>1112</v>
      </c>
      <c r="B116" s="19">
        <v>45452</v>
      </c>
      <c r="C116" s="7">
        <v>360</v>
      </c>
      <c r="D116" s="19">
        <v>45747</v>
      </c>
      <c r="E116" s="7">
        <v>9</v>
      </c>
      <c r="F116" s="29">
        <v>615434</v>
      </c>
      <c r="G116" s="29">
        <v>584453.83213099418</v>
      </c>
      <c r="H116" s="29">
        <v>707395.40229885059</v>
      </c>
      <c r="I116" s="7">
        <v>87</v>
      </c>
      <c r="J116" s="7" t="s">
        <v>66</v>
      </c>
      <c r="K116" s="7">
        <v>742</v>
      </c>
      <c r="L116" s="7">
        <v>0</v>
      </c>
      <c r="M116" s="7" t="s">
        <v>59</v>
      </c>
      <c r="N116" s="10">
        <v>5.3645390225216562E-2</v>
      </c>
      <c r="O116" s="7">
        <v>0.12</v>
      </c>
      <c r="P116" s="7">
        <v>0.35</v>
      </c>
      <c r="R116" s="30">
        <f t="shared" si="13"/>
        <v>2154.0189999999998</v>
      </c>
      <c r="S116" s="7" t="str">
        <f t="shared" si="8"/>
        <v>85-90</v>
      </c>
      <c r="T116" s="7" t="str">
        <f t="shared" si="9"/>
        <v>700-750</v>
      </c>
      <c r="U116" s="31">
        <f t="shared" si="10"/>
        <v>0.03</v>
      </c>
      <c r="V116" s="30">
        <f t="shared" si="11"/>
        <v>73641.182848505268</v>
      </c>
      <c r="W116" s="30">
        <f t="shared" si="12"/>
        <v>12390.431783520966</v>
      </c>
      <c r="X116" s="30">
        <f t="shared" si="14"/>
        <v>12390.431783520966</v>
      </c>
      <c r="Y116" s="30">
        <f t="shared" si="15"/>
        <v>371.71295350562895</v>
      </c>
    </row>
    <row r="117" spans="1:25" x14ac:dyDescent="0.15">
      <c r="A117" s="7">
        <v>1113</v>
      </c>
      <c r="B117" s="19">
        <v>45301</v>
      </c>
      <c r="C117" s="7">
        <v>360</v>
      </c>
      <c r="D117" s="19">
        <v>45747</v>
      </c>
      <c r="E117" s="7">
        <v>14</v>
      </c>
      <c r="F117" s="29">
        <v>692596</v>
      </c>
      <c r="G117" s="29">
        <v>630990.78632373165</v>
      </c>
      <c r="H117" s="29">
        <v>778197.75280898879</v>
      </c>
      <c r="I117" s="7">
        <v>89</v>
      </c>
      <c r="J117" s="7" t="s">
        <v>70</v>
      </c>
      <c r="K117" s="7">
        <v>704</v>
      </c>
      <c r="L117" s="7">
        <v>16</v>
      </c>
      <c r="M117" s="7" t="s">
        <v>59</v>
      </c>
      <c r="N117" s="10">
        <v>6.5497709870905516E-2</v>
      </c>
      <c r="O117" s="7">
        <v>0.12</v>
      </c>
      <c r="P117" s="7">
        <v>0.2</v>
      </c>
      <c r="R117" s="30">
        <f t="shared" si="13"/>
        <v>1385.192</v>
      </c>
      <c r="S117" s="7" t="str">
        <f t="shared" si="8"/>
        <v>85-90</v>
      </c>
      <c r="T117" s="7" t="str">
        <f t="shared" si="9"/>
        <v>700-750</v>
      </c>
      <c r="U117" s="31">
        <f t="shared" si="10"/>
        <v>0.03</v>
      </c>
      <c r="V117" s="30">
        <f t="shared" si="11"/>
        <v>79504.839076790187</v>
      </c>
      <c r="W117" s="30">
        <f t="shared" si="12"/>
        <v>1072.2357522777747</v>
      </c>
      <c r="X117" s="30">
        <f t="shared" si="14"/>
        <v>1072.2357522777747</v>
      </c>
      <c r="Y117" s="30">
        <f t="shared" si="15"/>
        <v>32.167072568333239</v>
      </c>
    </row>
    <row r="118" spans="1:25" x14ac:dyDescent="0.15">
      <c r="A118" s="7">
        <v>1114</v>
      </c>
      <c r="B118" s="19">
        <v>45435</v>
      </c>
      <c r="C118" s="7">
        <v>360</v>
      </c>
      <c r="D118" s="19">
        <v>45747</v>
      </c>
      <c r="E118" s="7">
        <v>10</v>
      </c>
      <c r="F118" s="29">
        <v>368026</v>
      </c>
      <c r="G118" s="29">
        <v>346306.05031562044</v>
      </c>
      <c r="H118" s="29">
        <v>438126.19047619047</v>
      </c>
      <c r="I118" s="7">
        <v>84</v>
      </c>
      <c r="J118" s="7" t="s">
        <v>69</v>
      </c>
      <c r="K118" s="7">
        <v>613</v>
      </c>
      <c r="L118" s="7">
        <v>39</v>
      </c>
      <c r="M118" s="7" t="s">
        <v>59</v>
      </c>
      <c r="N118" s="10">
        <v>5.8536558772970523E-2</v>
      </c>
      <c r="O118" s="7">
        <v>0.12</v>
      </c>
      <c r="P118" s="7">
        <v>0.27</v>
      </c>
      <c r="R118" s="30">
        <f t="shared" si="13"/>
        <v>993.67020000000002</v>
      </c>
      <c r="S118" s="7" t="str">
        <f t="shared" si="8"/>
        <v>80-85</v>
      </c>
      <c r="T118" s="7" t="str">
        <f t="shared" si="9"/>
        <v>&lt; 650</v>
      </c>
      <c r="U118" s="31">
        <f t="shared" si="10"/>
        <v>0.04</v>
      </c>
      <c r="V118" s="30">
        <f t="shared" si="11"/>
        <v>43634.56233976817</v>
      </c>
      <c r="W118" s="30">
        <f t="shared" si="12"/>
        <v>-8785.9090733604389</v>
      </c>
      <c r="X118" s="30">
        <f t="shared" si="14"/>
        <v>0</v>
      </c>
      <c r="Y118" s="30">
        <f t="shared" si="15"/>
        <v>0</v>
      </c>
    </row>
    <row r="119" spans="1:25" x14ac:dyDescent="0.15">
      <c r="A119" s="7">
        <v>1115</v>
      </c>
      <c r="B119" s="19">
        <v>45423</v>
      </c>
      <c r="C119" s="7">
        <v>360</v>
      </c>
      <c r="D119" s="19">
        <v>45747</v>
      </c>
      <c r="E119" s="7">
        <v>10</v>
      </c>
      <c r="F119" s="29">
        <v>152626</v>
      </c>
      <c r="G119" s="29">
        <v>142981.09952035174</v>
      </c>
      <c r="H119" s="29">
        <v>164113.97849462365</v>
      </c>
      <c r="I119" s="7">
        <v>93</v>
      </c>
      <c r="J119" s="7" t="s">
        <v>73</v>
      </c>
      <c r="K119" s="7">
        <v>806</v>
      </c>
      <c r="L119" s="7">
        <v>18</v>
      </c>
      <c r="M119" s="7" t="s">
        <v>59</v>
      </c>
      <c r="N119" s="10">
        <v>6.4979068093198852E-2</v>
      </c>
      <c r="O119" s="7">
        <v>0.25</v>
      </c>
      <c r="P119" s="7">
        <v>0.23</v>
      </c>
      <c r="R119" s="30">
        <f t="shared" si="13"/>
        <v>351.03980000000001</v>
      </c>
      <c r="S119" s="7" t="str">
        <f t="shared" si="8"/>
        <v>90-95</v>
      </c>
      <c r="T119" s="7" t="str">
        <f t="shared" si="9"/>
        <v>&gt; 800</v>
      </c>
      <c r="U119" s="31">
        <f t="shared" si="10"/>
        <v>0.04</v>
      </c>
      <c r="V119" s="30">
        <f t="shared" si="11"/>
        <v>37532.538624092333</v>
      </c>
      <c r="W119" s="30">
        <f t="shared" si="12"/>
        <v>10633.272775939229</v>
      </c>
      <c r="X119" s="30">
        <f t="shared" si="14"/>
        <v>10633.272775939229</v>
      </c>
      <c r="Y119" s="30">
        <f t="shared" si="15"/>
        <v>425.33091103756919</v>
      </c>
    </row>
    <row r="120" spans="1:25" x14ac:dyDescent="0.15">
      <c r="A120" s="7">
        <v>1116</v>
      </c>
      <c r="B120" s="19">
        <v>45308</v>
      </c>
      <c r="C120" s="7">
        <v>360</v>
      </c>
      <c r="D120" s="19">
        <v>45747</v>
      </c>
      <c r="E120" s="7">
        <v>14</v>
      </c>
      <c r="F120" s="29">
        <v>785787</v>
      </c>
      <c r="G120" s="29">
        <v>709359.73407037649</v>
      </c>
      <c r="H120" s="29">
        <v>810089.69072164956</v>
      </c>
      <c r="I120" s="7">
        <v>97</v>
      </c>
      <c r="J120" s="7" t="s">
        <v>71</v>
      </c>
      <c r="K120" s="7">
        <v>761</v>
      </c>
      <c r="L120" s="7">
        <v>21</v>
      </c>
      <c r="M120" s="7" t="s">
        <v>59</v>
      </c>
      <c r="N120" s="10">
        <v>7.4344145239879936E-2</v>
      </c>
      <c r="O120" s="7">
        <v>0.35</v>
      </c>
      <c r="P120" s="7">
        <v>0.26</v>
      </c>
      <c r="R120" s="30">
        <f t="shared" si="13"/>
        <v>2043.0462</v>
      </c>
      <c r="S120" s="7" t="str">
        <f t="shared" si="8"/>
        <v>&gt; 95</v>
      </c>
      <c r="T120" s="7" t="str">
        <f t="shared" si="9"/>
        <v>750-800</v>
      </c>
      <c r="U120" s="31">
        <f t="shared" si="10"/>
        <v>0.06</v>
      </c>
      <c r="V120" s="30">
        <f t="shared" si="11"/>
        <v>260689.70227086337</v>
      </c>
      <c r="W120" s="30">
        <f t="shared" si="12"/>
        <v>56251.483660493279</v>
      </c>
      <c r="X120" s="30">
        <f t="shared" si="14"/>
        <v>56251.483660493279</v>
      </c>
      <c r="Y120" s="30">
        <f t="shared" si="15"/>
        <v>3375.0890196295968</v>
      </c>
    </row>
    <row r="121" spans="1:25" x14ac:dyDescent="0.15">
      <c r="A121" s="7">
        <v>1117</v>
      </c>
      <c r="B121" s="19">
        <v>45452</v>
      </c>
      <c r="C121" s="7">
        <v>360</v>
      </c>
      <c r="D121" s="19">
        <v>45747</v>
      </c>
      <c r="E121" s="7">
        <v>9</v>
      </c>
      <c r="F121" s="29">
        <v>554459</v>
      </c>
      <c r="G121" s="29">
        <v>522657.0021849508</v>
      </c>
      <c r="H121" s="29">
        <v>693073.75</v>
      </c>
      <c r="I121" s="7">
        <v>80</v>
      </c>
      <c r="J121" s="7" t="s">
        <v>62</v>
      </c>
      <c r="K121" s="7">
        <v>762</v>
      </c>
      <c r="L121" s="7">
        <v>27</v>
      </c>
      <c r="M121" s="7" t="s">
        <v>59</v>
      </c>
      <c r="N121" s="10">
        <v>6.5793859164379936E-2</v>
      </c>
      <c r="O121" s="7">
        <v>0.12</v>
      </c>
      <c r="P121" s="7">
        <v>0.41</v>
      </c>
      <c r="R121" s="30">
        <f t="shared" si="13"/>
        <v>2273.2819</v>
      </c>
      <c r="S121" s="7" t="str">
        <f t="shared" si="8"/>
        <v>80-85</v>
      </c>
      <c r="T121" s="7" t="str">
        <f t="shared" si="9"/>
        <v>750-800</v>
      </c>
      <c r="U121" s="31">
        <f t="shared" si="10"/>
        <v>0.02</v>
      </c>
      <c r="V121" s="30">
        <f t="shared" si="11"/>
        <v>65854.782275303805</v>
      </c>
      <c r="W121" s="30">
        <f t="shared" si="12"/>
        <v>-40322.835205801646</v>
      </c>
      <c r="X121" s="30">
        <f t="shared" si="14"/>
        <v>0</v>
      </c>
      <c r="Y121" s="30">
        <f t="shared" si="15"/>
        <v>0</v>
      </c>
    </row>
    <row r="122" spans="1:25" x14ac:dyDescent="0.15">
      <c r="A122" s="7">
        <v>1118</v>
      </c>
      <c r="B122" s="19">
        <v>45340</v>
      </c>
      <c r="C122" s="7">
        <v>360</v>
      </c>
      <c r="D122" s="19">
        <v>45747</v>
      </c>
      <c r="E122" s="7">
        <v>13</v>
      </c>
      <c r="F122" s="29">
        <v>579518</v>
      </c>
      <c r="G122" s="29">
        <v>524873.03434544848</v>
      </c>
      <c r="H122" s="29">
        <v>636832.96703296702</v>
      </c>
      <c r="I122" s="7">
        <v>91</v>
      </c>
      <c r="J122" s="7" t="s">
        <v>67</v>
      </c>
      <c r="K122" s="7">
        <v>751</v>
      </c>
      <c r="L122" s="7">
        <v>34</v>
      </c>
      <c r="M122" s="7" t="s">
        <v>59</v>
      </c>
      <c r="N122" s="10">
        <v>7.8788562436366852E-2</v>
      </c>
      <c r="O122" s="7">
        <v>0.25</v>
      </c>
      <c r="P122" s="7">
        <v>0.27</v>
      </c>
      <c r="R122" s="30">
        <f t="shared" si="13"/>
        <v>1564.6986000000002</v>
      </c>
      <c r="S122" s="7" t="str">
        <f t="shared" si="8"/>
        <v>90-95</v>
      </c>
      <c r="T122" s="7" t="str">
        <f t="shared" si="9"/>
        <v>750-800</v>
      </c>
      <c r="U122" s="31">
        <f t="shared" si="10"/>
        <v>0.05</v>
      </c>
      <c r="V122" s="30">
        <f t="shared" si="11"/>
        <v>137779.17151568024</v>
      </c>
      <c r="W122" s="30">
        <f t="shared" si="12"/>
        <v>9808.6640846990049</v>
      </c>
      <c r="X122" s="30">
        <f t="shared" si="14"/>
        <v>9808.6640846990049</v>
      </c>
      <c r="Y122" s="30">
        <f t="shared" si="15"/>
        <v>490.43320423495027</v>
      </c>
    </row>
    <row r="123" spans="1:25" x14ac:dyDescent="0.15">
      <c r="A123" s="7">
        <v>1119</v>
      </c>
      <c r="B123" s="19">
        <v>45442</v>
      </c>
      <c r="C123" s="7">
        <v>360</v>
      </c>
      <c r="D123" s="19">
        <v>45747</v>
      </c>
      <c r="E123" s="7">
        <v>10</v>
      </c>
      <c r="F123" s="29">
        <v>516603</v>
      </c>
      <c r="G123" s="29">
        <v>481425.82054653496</v>
      </c>
      <c r="H123" s="29">
        <v>580452.80898876407</v>
      </c>
      <c r="I123" s="7">
        <v>89</v>
      </c>
      <c r="J123" s="7" t="s">
        <v>64</v>
      </c>
      <c r="K123" s="7">
        <v>675</v>
      </c>
      <c r="L123" s="7">
        <v>32</v>
      </c>
      <c r="M123" s="7" t="s">
        <v>59</v>
      </c>
      <c r="N123" s="10">
        <v>7.231656654357238E-2</v>
      </c>
      <c r="O123" s="7">
        <v>0.12</v>
      </c>
      <c r="P123" s="7">
        <v>0.23</v>
      </c>
      <c r="R123" s="30">
        <f t="shared" si="13"/>
        <v>1188.1868999999999</v>
      </c>
      <c r="S123" s="7" t="str">
        <f t="shared" si="8"/>
        <v>85-90</v>
      </c>
      <c r="T123" s="7" t="str">
        <f t="shared" si="9"/>
        <v>650-700</v>
      </c>
      <c r="U123" s="31">
        <f t="shared" si="10"/>
        <v>0.04</v>
      </c>
      <c r="V123" s="30">
        <f t="shared" si="11"/>
        <v>60659.653388863408</v>
      </c>
      <c r="W123" s="30">
        <f t="shared" si="12"/>
        <v>12112.223933412286</v>
      </c>
      <c r="X123" s="30">
        <f t="shared" si="14"/>
        <v>12112.223933412286</v>
      </c>
      <c r="Y123" s="30">
        <f t="shared" si="15"/>
        <v>484.48895733649147</v>
      </c>
    </row>
    <row r="124" spans="1:25" x14ac:dyDescent="0.15">
      <c r="A124" s="7">
        <v>1120</v>
      </c>
      <c r="B124" s="19">
        <v>45324</v>
      </c>
      <c r="C124" s="7">
        <v>360</v>
      </c>
      <c r="D124" s="19">
        <v>45747</v>
      </c>
      <c r="E124" s="7">
        <v>13</v>
      </c>
      <c r="F124" s="29">
        <v>282660</v>
      </c>
      <c r="G124" s="29">
        <v>260264.23204992805</v>
      </c>
      <c r="H124" s="29">
        <v>353325</v>
      </c>
      <c r="I124" s="7">
        <v>80</v>
      </c>
      <c r="J124" s="7" t="s">
        <v>67</v>
      </c>
      <c r="K124" s="7">
        <v>662</v>
      </c>
      <c r="L124" s="7">
        <v>48</v>
      </c>
      <c r="M124" s="7" t="s">
        <v>59</v>
      </c>
      <c r="N124" s="10">
        <v>6.1538634036370998E-2</v>
      </c>
      <c r="O124" s="7">
        <v>0.12</v>
      </c>
      <c r="P124" s="7">
        <v>0.28000000000000003</v>
      </c>
      <c r="R124" s="30">
        <f t="shared" si="13"/>
        <v>791.44799999999998</v>
      </c>
      <c r="S124" s="7" t="str">
        <f t="shared" si="8"/>
        <v>80-85</v>
      </c>
      <c r="T124" s="7" t="str">
        <f t="shared" si="9"/>
        <v>650-700</v>
      </c>
      <c r="U124" s="31">
        <f t="shared" si="10"/>
        <v>0.03</v>
      </c>
      <c r="V124" s="30">
        <f t="shared" si="11"/>
        <v>32793.293238290935</v>
      </c>
      <c r="W124" s="30">
        <f t="shared" si="12"/>
        <v>-27048.806347575563</v>
      </c>
      <c r="X124" s="30">
        <f t="shared" si="14"/>
        <v>0</v>
      </c>
      <c r="Y124" s="30">
        <f t="shared" si="15"/>
        <v>0</v>
      </c>
    </row>
    <row r="125" spans="1:25" x14ac:dyDescent="0.15">
      <c r="A125" s="7">
        <v>1121</v>
      </c>
      <c r="B125" s="19">
        <v>45473</v>
      </c>
      <c r="C125" s="7">
        <v>360</v>
      </c>
      <c r="D125" s="19">
        <v>45747</v>
      </c>
      <c r="E125" s="7">
        <v>9</v>
      </c>
      <c r="F125" s="29">
        <v>394588</v>
      </c>
      <c r="G125" s="29">
        <v>374706.39172890806</v>
      </c>
      <c r="H125" s="29">
        <v>419774.4680851064</v>
      </c>
      <c r="I125" s="7">
        <v>94</v>
      </c>
      <c r="J125" s="7" t="s">
        <v>62</v>
      </c>
      <c r="K125" s="7">
        <v>829</v>
      </c>
      <c r="L125" s="7">
        <v>18</v>
      </c>
      <c r="M125" s="7" t="s">
        <v>59</v>
      </c>
      <c r="N125" s="10">
        <v>5.372919650610096E-2</v>
      </c>
      <c r="O125" s="7">
        <v>0.25</v>
      </c>
      <c r="P125" s="7">
        <v>0.31</v>
      </c>
      <c r="R125" s="30">
        <f t="shared" si="13"/>
        <v>1223.2228</v>
      </c>
      <c r="S125" s="7" t="str">
        <f t="shared" si="8"/>
        <v>90-95</v>
      </c>
      <c r="T125" s="7" t="str">
        <f t="shared" si="9"/>
        <v>&gt; 800</v>
      </c>
      <c r="U125" s="31">
        <f t="shared" si="10"/>
        <v>0.04</v>
      </c>
      <c r="V125" s="30">
        <f t="shared" si="11"/>
        <v>98360.427828838365</v>
      </c>
      <c r="W125" s="30">
        <f t="shared" si="12"/>
        <v>36633.413443013036</v>
      </c>
      <c r="X125" s="30">
        <f t="shared" si="14"/>
        <v>36633.413443013036</v>
      </c>
      <c r="Y125" s="30">
        <f t="shared" si="15"/>
        <v>1465.3365377205214</v>
      </c>
    </row>
    <row r="126" spans="1:25" x14ac:dyDescent="0.15">
      <c r="A126" s="7">
        <v>1122</v>
      </c>
      <c r="B126" s="19">
        <v>45438</v>
      </c>
      <c r="C126" s="7">
        <v>360</v>
      </c>
      <c r="D126" s="19">
        <v>45747</v>
      </c>
      <c r="E126" s="7">
        <v>10</v>
      </c>
      <c r="F126" s="29">
        <v>694256</v>
      </c>
      <c r="G126" s="29">
        <v>645433.60188631027</v>
      </c>
      <c r="H126" s="29">
        <v>857106.17283950606</v>
      </c>
      <c r="I126" s="7">
        <v>81</v>
      </c>
      <c r="J126" s="7" t="s">
        <v>72</v>
      </c>
      <c r="K126" s="7">
        <v>813</v>
      </c>
      <c r="L126" s="7">
        <v>12</v>
      </c>
      <c r="M126" s="7" t="s">
        <v>59</v>
      </c>
      <c r="N126" s="10">
        <v>7.5586267348096273E-2</v>
      </c>
      <c r="O126" s="7">
        <v>0.12</v>
      </c>
      <c r="P126" s="7">
        <v>0.25</v>
      </c>
      <c r="R126" s="30">
        <f t="shared" si="13"/>
        <v>1735.64</v>
      </c>
      <c r="S126" s="7" t="str">
        <f t="shared" si="8"/>
        <v>80-85</v>
      </c>
      <c r="T126" s="7" t="str">
        <f t="shared" si="9"/>
        <v>&gt; 800</v>
      </c>
      <c r="U126" s="31">
        <f t="shared" si="10"/>
        <v>0.01</v>
      </c>
      <c r="V126" s="30">
        <f t="shared" si="11"/>
        <v>81324.633837675094</v>
      </c>
      <c r="W126" s="30">
        <f t="shared" si="12"/>
        <v>-50834.964932954288</v>
      </c>
      <c r="X126" s="30">
        <f t="shared" si="14"/>
        <v>0</v>
      </c>
      <c r="Y126" s="30">
        <f t="shared" si="15"/>
        <v>0</v>
      </c>
    </row>
    <row r="127" spans="1:25" x14ac:dyDescent="0.15">
      <c r="A127" s="7">
        <v>1123</v>
      </c>
      <c r="B127" s="19">
        <v>45396</v>
      </c>
      <c r="C127" s="7">
        <v>360</v>
      </c>
      <c r="D127" s="19">
        <v>45747</v>
      </c>
      <c r="E127" s="7">
        <v>11</v>
      </c>
      <c r="F127" s="29">
        <v>557600</v>
      </c>
      <c r="G127" s="29">
        <v>515476.03681541875</v>
      </c>
      <c r="H127" s="29">
        <v>680000</v>
      </c>
      <c r="I127" s="7">
        <v>82</v>
      </c>
      <c r="J127" s="7" t="s">
        <v>66</v>
      </c>
      <c r="K127" s="7">
        <v>751</v>
      </c>
      <c r="L127" s="7">
        <v>35</v>
      </c>
      <c r="M127" s="7" t="s">
        <v>59</v>
      </c>
      <c r="N127" s="10">
        <v>7.3176953680206103E-2</v>
      </c>
      <c r="O127" s="7">
        <v>0.12</v>
      </c>
      <c r="P127" s="7">
        <v>0.38</v>
      </c>
      <c r="R127" s="30">
        <f t="shared" si="13"/>
        <v>2118.88</v>
      </c>
      <c r="S127" s="7" t="str">
        <f t="shared" si="8"/>
        <v>80-85</v>
      </c>
      <c r="T127" s="7" t="str">
        <f t="shared" si="9"/>
        <v>750-800</v>
      </c>
      <c r="U127" s="31">
        <f t="shared" si="10"/>
        <v>0.02</v>
      </c>
      <c r="V127" s="30">
        <f t="shared" si="11"/>
        <v>64949.980638742767</v>
      </c>
      <c r="W127" s="30">
        <f t="shared" si="12"/>
        <v>-36750.161343810265</v>
      </c>
      <c r="X127" s="30">
        <f t="shared" si="14"/>
        <v>0</v>
      </c>
      <c r="Y127" s="30">
        <f t="shared" si="15"/>
        <v>0</v>
      </c>
    </row>
    <row r="128" spans="1:25" x14ac:dyDescent="0.15">
      <c r="A128" s="7">
        <v>1124</v>
      </c>
      <c r="B128" s="19">
        <v>45418</v>
      </c>
      <c r="C128" s="7">
        <v>360</v>
      </c>
      <c r="D128" s="19">
        <v>45747</v>
      </c>
      <c r="E128" s="7">
        <v>10</v>
      </c>
      <c r="F128" s="29">
        <v>186909</v>
      </c>
      <c r="G128" s="29">
        <v>174775.64527700172</v>
      </c>
      <c r="H128" s="29">
        <v>212396.59090909091</v>
      </c>
      <c r="I128" s="7">
        <v>88</v>
      </c>
      <c r="J128" s="7" t="s">
        <v>61</v>
      </c>
      <c r="K128" s="7">
        <v>712</v>
      </c>
      <c r="L128" s="7">
        <v>34</v>
      </c>
      <c r="M128" s="7" t="s">
        <v>59</v>
      </c>
      <c r="N128" s="10">
        <v>6.7584276329272761E-2</v>
      </c>
      <c r="O128" s="7">
        <v>0.12</v>
      </c>
      <c r="P128" s="7">
        <v>0.2</v>
      </c>
      <c r="R128" s="30">
        <f t="shared" si="13"/>
        <v>373.81800000000004</v>
      </c>
      <c r="S128" s="7" t="str">
        <f t="shared" si="8"/>
        <v>85-90</v>
      </c>
      <c r="T128" s="7" t="str">
        <f t="shared" si="9"/>
        <v>700-750</v>
      </c>
      <c r="U128" s="31">
        <f t="shared" si="10"/>
        <v>0.03</v>
      </c>
      <c r="V128" s="30">
        <f t="shared" si="11"/>
        <v>22021.731304902216</v>
      </c>
      <c r="W128" s="30">
        <f t="shared" si="12"/>
        <v>2977.3252681245503</v>
      </c>
      <c r="X128" s="30">
        <f t="shared" si="14"/>
        <v>2977.3252681245503</v>
      </c>
      <c r="Y128" s="30">
        <f t="shared" si="15"/>
        <v>89.319758043736513</v>
      </c>
    </row>
    <row r="129" spans="1:25" x14ac:dyDescent="0.15">
      <c r="A129" s="7">
        <v>1125</v>
      </c>
      <c r="B129" s="19">
        <v>45424</v>
      </c>
      <c r="C129" s="7">
        <v>360</v>
      </c>
      <c r="D129" s="19">
        <v>45747</v>
      </c>
      <c r="E129" s="7">
        <v>10</v>
      </c>
      <c r="F129" s="29">
        <v>565844</v>
      </c>
      <c r="G129" s="29">
        <v>530358.81212945958</v>
      </c>
      <c r="H129" s="29">
        <v>681739.75903614459</v>
      </c>
      <c r="I129" s="7">
        <v>83</v>
      </c>
      <c r="J129" s="7" t="s">
        <v>66</v>
      </c>
      <c r="K129" s="7">
        <v>794</v>
      </c>
      <c r="L129" s="7">
        <v>12</v>
      </c>
      <c r="M129" s="7" t="s">
        <v>59</v>
      </c>
      <c r="N129" s="10">
        <v>6.4246322726975655E-2</v>
      </c>
      <c r="O129" s="7">
        <v>0.12</v>
      </c>
      <c r="P129" s="7">
        <v>0.38</v>
      </c>
      <c r="R129" s="30">
        <f t="shared" si="13"/>
        <v>2150.2071999999998</v>
      </c>
      <c r="S129" s="7" t="str">
        <f t="shared" si="8"/>
        <v>80-85</v>
      </c>
      <c r="T129" s="7" t="str">
        <f t="shared" si="9"/>
        <v>750-800</v>
      </c>
      <c r="U129" s="31">
        <f t="shared" si="10"/>
        <v>0.02</v>
      </c>
      <c r="V129" s="30">
        <f t="shared" si="11"/>
        <v>66825.210328311907</v>
      </c>
      <c r="W129" s="30">
        <f t="shared" si="12"/>
        <v>-22602.042444790248</v>
      </c>
      <c r="X129" s="30">
        <f t="shared" si="14"/>
        <v>0</v>
      </c>
      <c r="Y129" s="30">
        <f t="shared" si="15"/>
        <v>0</v>
      </c>
    </row>
    <row r="130" spans="1:25" x14ac:dyDescent="0.15">
      <c r="A130" s="7">
        <v>1126</v>
      </c>
      <c r="B130" s="19">
        <v>45408</v>
      </c>
      <c r="C130" s="7">
        <v>360</v>
      </c>
      <c r="D130" s="19">
        <v>45747</v>
      </c>
      <c r="E130" s="7">
        <v>11</v>
      </c>
      <c r="F130" s="29">
        <v>592122</v>
      </c>
      <c r="G130" s="29">
        <v>546417.1395003699</v>
      </c>
      <c r="H130" s="29">
        <v>680600</v>
      </c>
      <c r="I130" s="7">
        <v>87</v>
      </c>
      <c r="J130" s="7" t="s">
        <v>72</v>
      </c>
      <c r="K130" s="7">
        <v>850</v>
      </c>
      <c r="L130" s="7">
        <v>34</v>
      </c>
      <c r="M130" s="7" t="s">
        <v>59</v>
      </c>
      <c r="N130" s="10">
        <v>7.5364388205929875E-2</v>
      </c>
      <c r="O130" s="7">
        <v>0.12</v>
      </c>
      <c r="P130" s="7">
        <v>0.38</v>
      </c>
      <c r="R130" s="30">
        <f t="shared" si="13"/>
        <v>2250.0636</v>
      </c>
      <c r="S130" s="7" t="str">
        <f t="shared" si="8"/>
        <v>85-90</v>
      </c>
      <c r="T130" s="7" t="str">
        <f t="shared" si="9"/>
        <v>&gt; 800</v>
      </c>
      <c r="U130" s="31">
        <f t="shared" si="10"/>
        <v>0.01</v>
      </c>
      <c r="V130" s="30">
        <f t="shared" si="11"/>
        <v>68848.559577046602</v>
      </c>
      <c r="W130" s="30">
        <f t="shared" si="12"/>
        <v>-4772.0035246115876</v>
      </c>
      <c r="X130" s="30">
        <f t="shared" si="14"/>
        <v>0</v>
      </c>
      <c r="Y130" s="30">
        <f t="shared" si="15"/>
        <v>0</v>
      </c>
    </row>
    <row r="131" spans="1:25" x14ac:dyDescent="0.15">
      <c r="A131" s="7">
        <v>1127</v>
      </c>
      <c r="B131" s="19">
        <v>45408</v>
      </c>
      <c r="C131" s="7">
        <v>360</v>
      </c>
      <c r="D131" s="19">
        <v>45747</v>
      </c>
      <c r="E131" s="7">
        <v>11</v>
      </c>
      <c r="F131" s="29">
        <v>127247</v>
      </c>
      <c r="G131" s="29">
        <v>119647.63043078735</v>
      </c>
      <c r="H131" s="29">
        <v>157095.06172839506</v>
      </c>
      <c r="I131" s="7">
        <v>81</v>
      </c>
      <c r="J131" s="7" t="s">
        <v>64</v>
      </c>
      <c r="K131" s="7">
        <v>686</v>
      </c>
      <c r="L131" s="7">
        <v>36</v>
      </c>
      <c r="M131" s="7" t="s">
        <v>59</v>
      </c>
      <c r="N131" s="10">
        <v>5.0995457226659512E-2</v>
      </c>
      <c r="O131" s="7">
        <v>0.12</v>
      </c>
      <c r="P131" s="7">
        <v>0.38</v>
      </c>
      <c r="R131" s="30">
        <f t="shared" si="13"/>
        <v>483.53860000000003</v>
      </c>
      <c r="S131" s="7" t="str">
        <f t="shared" si="8"/>
        <v>80-85</v>
      </c>
      <c r="T131" s="7" t="str">
        <f t="shared" si="9"/>
        <v>650-700</v>
      </c>
      <c r="U131" s="31">
        <f t="shared" si="10"/>
        <v>0.03</v>
      </c>
      <c r="V131" s="30">
        <f t="shared" si="11"/>
        <v>15075.601434279206</v>
      </c>
      <c r="W131" s="30">
        <f t="shared" si="12"/>
        <v>-7900.7905168090656</v>
      </c>
      <c r="X131" s="30">
        <f t="shared" si="14"/>
        <v>0</v>
      </c>
      <c r="Y131" s="30">
        <f t="shared" si="15"/>
        <v>0</v>
      </c>
    </row>
    <row r="132" spans="1:25" x14ac:dyDescent="0.15">
      <c r="A132" s="7">
        <v>1128</v>
      </c>
      <c r="B132" s="19">
        <v>45319</v>
      </c>
      <c r="C132" s="7">
        <v>360</v>
      </c>
      <c r="D132" s="19">
        <v>45747</v>
      </c>
      <c r="E132" s="7">
        <v>14</v>
      </c>
      <c r="F132" s="29">
        <v>243951</v>
      </c>
      <c r="G132" s="29">
        <v>222615.66265260661</v>
      </c>
      <c r="H132" s="29">
        <v>290417.85714285716</v>
      </c>
      <c r="I132" s="7">
        <v>84</v>
      </c>
      <c r="J132" s="7" t="s">
        <v>73</v>
      </c>
      <c r="K132" s="7">
        <v>783</v>
      </c>
      <c r="L132" s="7">
        <v>20</v>
      </c>
      <c r="M132" s="7" t="s">
        <v>59</v>
      </c>
      <c r="N132" s="10">
        <v>6.3876304924961408E-2</v>
      </c>
      <c r="O132" s="7">
        <v>0.12</v>
      </c>
      <c r="P132" s="7">
        <v>0.23</v>
      </c>
      <c r="R132" s="30">
        <f t="shared" si="13"/>
        <v>561.08730000000003</v>
      </c>
      <c r="S132" s="7" t="str">
        <f t="shared" si="8"/>
        <v>80-85</v>
      </c>
      <c r="T132" s="7" t="str">
        <f t="shared" si="9"/>
        <v>750-800</v>
      </c>
      <c r="U132" s="31">
        <f t="shared" si="10"/>
        <v>0.02</v>
      </c>
      <c r="V132" s="30">
        <f t="shared" si="11"/>
        <v>28049.573494228433</v>
      </c>
      <c r="W132" s="30">
        <f t="shared" si="12"/>
        <v>-13108.732786191627</v>
      </c>
      <c r="X132" s="30">
        <f t="shared" si="14"/>
        <v>0</v>
      </c>
      <c r="Y132" s="30">
        <f t="shared" si="15"/>
        <v>0</v>
      </c>
    </row>
    <row r="133" spans="1:25" x14ac:dyDescent="0.15">
      <c r="A133" s="7">
        <v>1129</v>
      </c>
      <c r="B133" s="19">
        <v>45292</v>
      </c>
      <c r="C133" s="7">
        <v>360</v>
      </c>
      <c r="D133" s="19">
        <v>45747</v>
      </c>
      <c r="E133" s="7">
        <v>14</v>
      </c>
      <c r="F133" s="29">
        <v>685600</v>
      </c>
      <c r="G133" s="29">
        <v>630151.35827876267</v>
      </c>
      <c r="H133" s="29">
        <v>706804.12371134025</v>
      </c>
      <c r="I133" s="7">
        <v>97</v>
      </c>
      <c r="J133" s="7" t="s">
        <v>69</v>
      </c>
      <c r="K133" s="7">
        <v>835</v>
      </c>
      <c r="L133" s="7">
        <v>32</v>
      </c>
      <c r="M133" s="7" t="s">
        <v>59</v>
      </c>
      <c r="N133" s="10">
        <v>5.6571254096030803E-2</v>
      </c>
      <c r="O133" s="7">
        <v>0.35</v>
      </c>
      <c r="P133" s="7">
        <v>0.4</v>
      </c>
      <c r="R133" s="30">
        <f t="shared" si="13"/>
        <v>2742.4</v>
      </c>
      <c r="S133" s="7" t="str">
        <f t="shared" ref="S133:S196" si="16">_xlfn.IFS(I133&lt;80,"&lt; 80",AND(I133&gt;=80,I133&lt;=85),"80-85",AND(I133&gt;85,I133&lt;=90),"85-90",AND(I133&gt;90,I133&lt;=95),"90-95",I133&gt;95,"&gt; 95")</f>
        <v>&gt; 95</v>
      </c>
      <c r="T133" s="7" t="str">
        <f t="shared" ref="T133:T196" si="17">_xlfn.IFS(K133&lt;650,"&lt; 650",AND(K133&gt;=650,K133&lt;=700),"650-700",AND(K133&gt;700,K133&lt;=750),"700-750",AND(K133&gt;750,K133&lt;=800),"750-800",K133&gt;800,"&gt; 800")</f>
        <v>&gt; 800</v>
      </c>
      <c r="U133" s="31">
        <f t="shared" ref="U133:U196" si="18">INDEX(LTV_FICO_DefaultRates,MATCH(S133,LTV_DefaultTable,0),MATCH(T133,FICO_DefaultTabe,0))</f>
        <v>0.05</v>
      </c>
      <c r="V133" s="30">
        <f t="shared" ref="V133:V196" si="19">((G133*(1+Expense_Loading))*O133)</f>
        <v>231580.62416744529</v>
      </c>
      <c r="W133" s="30">
        <f t="shared" ref="W133:W196" si="20">(G133*(1+Expense_Loading))-(H133*(1+HPI_Movement))</f>
        <v>60875.421038061613</v>
      </c>
      <c r="X133" s="30">
        <f t="shared" si="14"/>
        <v>60875.421038061613</v>
      </c>
      <c r="Y133" s="30">
        <f t="shared" si="15"/>
        <v>3043.7710519030807</v>
      </c>
    </row>
    <row r="134" spans="1:25" x14ac:dyDescent="0.15">
      <c r="A134" s="7">
        <v>1130</v>
      </c>
      <c r="B134" s="19">
        <v>45370</v>
      </c>
      <c r="C134" s="7">
        <v>360</v>
      </c>
      <c r="D134" s="19">
        <v>45747</v>
      </c>
      <c r="E134" s="7">
        <v>12</v>
      </c>
      <c r="F134" s="29">
        <v>436430</v>
      </c>
      <c r="G134" s="29">
        <v>406262.934385737</v>
      </c>
      <c r="H134" s="29">
        <v>449927.8350515464</v>
      </c>
      <c r="I134" s="7">
        <v>97</v>
      </c>
      <c r="J134" s="7" t="s">
        <v>72</v>
      </c>
      <c r="K134" s="7">
        <v>621</v>
      </c>
      <c r="L134" s="7">
        <v>45</v>
      </c>
      <c r="M134" s="7" t="s">
        <v>59</v>
      </c>
      <c r="N134" s="10">
        <v>5.6307510074926979E-2</v>
      </c>
      <c r="O134" s="7">
        <v>0.35</v>
      </c>
      <c r="P134" s="7">
        <v>0.42</v>
      </c>
      <c r="R134" s="30">
        <f t="shared" ref="R134:R197" si="21">P134*F134/100</f>
        <v>1833.0060000000001</v>
      </c>
      <c r="S134" s="7" t="str">
        <f t="shared" si="16"/>
        <v>&gt; 95</v>
      </c>
      <c r="T134" s="7" t="str">
        <f t="shared" si="17"/>
        <v>&lt; 650</v>
      </c>
      <c r="U134" s="31">
        <f t="shared" si="18"/>
        <v>0.11</v>
      </c>
      <c r="V134" s="30">
        <f t="shared" si="19"/>
        <v>149301.62838675833</v>
      </c>
      <c r="W134" s="30">
        <f t="shared" si="20"/>
        <v>44137.421311209444</v>
      </c>
      <c r="X134" s="30">
        <f t="shared" ref="X134:X197" si="22">MAX(MIN(V134,W134),0)</f>
        <v>44137.421311209444</v>
      </c>
      <c r="Y134" s="30">
        <f t="shared" ref="Y134:Y197" si="23">X134*U134</f>
        <v>4855.1163442330389</v>
      </c>
    </row>
    <row r="135" spans="1:25" x14ac:dyDescent="0.15">
      <c r="A135" s="7">
        <v>1131</v>
      </c>
      <c r="B135" s="19">
        <v>45370</v>
      </c>
      <c r="C135" s="7">
        <v>360</v>
      </c>
      <c r="D135" s="19">
        <v>45747</v>
      </c>
      <c r="E135" s="7">
        <v>12</v>
      </c>
      <c r="F135" s="29">
        <v>206544</v>
      </c>
      <c r="G135" s="29">
        <v>188741.08009339214</v>
      </c>
      <c r="H135" s="29">
        <v>254992.59259259258</v>
      </c>
      <c r="I135" s="7">
        <v>81</v>
      </c>
      <c r="J135" s="7" t="s">
        <v>61</v>
      </c>
      <c r="K135" s="7">
        <v>697</v>
      </c>
      <c r="L135" s="7">
        <v>27</v>
      </c>
      <c r="M135" s="7" t="s">
        <v>59</v>
      </c>
      <c r="N135" s="10">
        <v>7.7771022585349861E-2</v>
      </c>
      <c r="O135" s="7">
        <v>0.12</v>
      </c>
      <c r="P135" s="7">
        <v>0.2</v>
      </c>
      <c r="R135" s="30">
        <f t="shared" si="21"/>
        <v>413.08800000000002</v>
      </c>
      <c r="S135" s="7" t="str">
        <f t="shared" si="16"/>
        <v>80-85</v>
      </c>
      <c r="T135" s="7" t="str">
        <f t="shared" si="17"/>
        <v>650-700</v>
      </c>
      <c r="U135" s="31">
        <f t="shared" si="18"/>
        <v>0.03</v>
      </c>
      <c r="V135" s="30">
        <f t="shared" si="19"/>
        <v>23781.376091767412</v>
      </c>
      <c r="W135" s="30">
        <f t="shared" si="20"/>
        <v>-18565.569605641911</v>
      </c>
      <c r="X135" s="30">
        <f t="shared" si="22"/>
        <v>0</v>
      </c>
      <c r="Y135" s="30">
        <f t="shared" si="23"/>
        <v>0</v>
      </c>
    </row>
    <row r="136" spans="1:25" x14ac:dyDescent="0.15">
      <c r="A136" s="7">
        <v>1132</v>
      </c>
      <c r="B136" s="19">
        <v>45445</v>
      </c>
      <c r="C136" s="7">
        <v>360</v>
      </c>
      <c r="D136" s="19">
        <v>45747</v>
      </c>
      <c r="E136" s="7">
        <v>9</v>
      </c>
      <c r="F136" s="29">
        <v>411875</v>
      </c>
      <c r="G136" s="29">
        <v>384775.33304428833</v>
      </c>
      <c r="H136" s="29">
        <v>457638.88888888888</v>
      </c>
      <c r="I136" s="7">
        <v>90</v>
      </c>
      <c r="J136" s="7" t="s">
        <v>73</v>
      </c>
      <c r="K136" s="7">
        <v>708</v>
      </c>
      <c r="L136" s="7">
        <v>3</v>
      </c>
      <c r="M136" s="7" t="s">
        <v>59</v>
      </c>
      <c r="N136" s="10">
        <v>7.9612499550566651E-2</v>
      </c>
      <c r="O136" s="7">
        <v>0.25</v>
      </c>
      <c r="P136" s="7">
        <v>0.33</v>
      </c>
      <c r="R136" s="30">
        <f t="shared" si="21"/>
        <v>1359.1875</v>
      </c>
      <c r="S136" s="7" t="str">
        <f t="shared" si="16"/>
        <v>85-90</v>
      </c>
      <c r="T136" s="7" t="str">
        <f t="shared" si="17"/>
        <v>700-750</v>
      </c>
      <c r="U136" s="31">
        <f t="shared" si="18"/>
        <v>0.03</v>
      </c>
      <c r="V136" s="30">
        <f t="shared" si="19"/>
        <v>101003.5249241257</v>
      </c>
      <c r="W136" s="30">
        <f t="shared" si="20"/>
        <v>15021.044140947226</v>
      </c>
      <c r="X136" s="30">
        <f t="shared" si="22"/>
        <v>15021.044140947226</v>
      </c>
      <c r="Y136" s="30">
        <f t="shared" si="23"/>
        <v>450.63132422841676</v>
      </c>
    </row>
    <row r="137" spans="1:25" x14ac:dyDescent="0.15">
      <c r="A137" s="7">
        <v>1133</v>
      </c>
      <c r="B137" s="19">
        <v>45309</v>
      </c>
      <c r="C137" s="7">
        <v>360</v>
      </c>
      <c r="D137" s="19">
        <v>45747</v>
      </c>
      <c r="E137" s="7">
        <v>14</v>
      </c>
      <c r="F137" s="29">
        <v>263970</v>
      </c>
      <c r="G137" s="29">
        <v>237638.4353078088</v>
      </c>
      <c r="H137" s="29">
        <v>296595.50561797753</v>
      </c>
      <c r="I137" s="7">
        <v>89</v>
      </c>
      <c r="J137" s="7" t="s">
        <v>62</v>
      </c>
      <c r="K137" s="7">
        <v>685</v>
      </c>
      <c r="L137" s="7">
        <v>18</v>
      </c>
      <c r="M137" s="7" t="s">
        <v>59</v>
      </c>
      <c r="N137" s="10">
        <v>7.6935466409803144E-2</v>
      </c>
      <c r="O137" s="7">
        <v>0.12</v>
      </c>
      <c r="P137" s="7">
        <v>0.35</v>
      </c>
      <c r="R137" s="30">
        <f t="shared" si="21"/>
        <v>923.89499999999998</v>
      </c>
      <c r="S137" s="7" t="str">
        <f t="shared" si="16"/>
        <v>85-90</v>
      </c>
      <c r="T137" s="7" t="str">
        <f t="shared" si="17"/>
        <v>650-700</v>
      </c>
      <c r="U137" s="31">
        <f t="shared" si="18"/>
        <v>0.04</v>
      </c>
      <c r="V137" s="30">
        <f t="shared" si="19"/>
        <v>29942.44284878391</v>
      </c>
      <c r="W137" s="30">
        <f t="shared" si="20"/>
        <v>-2585.8227020816121</v>
      </c>
      <c r="X137" s="30">
        <f t="shared" si="22"/>
        <v>0</v>
      </c>
      <c r="Y137" s="30">
        <f t="shared" si="23"/>
        <v>0</v>
      </c>
    </row>
    <row r="138" spans="1:25" x14ac:dyDescent="0.15">
      <c r="A138" s="7">
        <v>1134</v>
      </c>
      <c r="B138" s="19">
        <v>45297</v>
      </c>
      <c r="C138" s="7">
        <v>360</v>
      </c>
      <c r="D138" s="19">
        <v>45747</v>
      </c>
      <c r="E138" s="7">
        <v>14</v>
      </c>
      <c r="F138" s="29">
        <v>426840</v>
      </c>
      <c r="G138" s="29">
        <v>393084.93920963461</v>
      </c>
      <c r="H138" s="29">
        <v>458967.74193548382</v>
      </c>
      <c r="I138" s="7">
        <v>93</v>
      </c>
      <c r="J138" s="7" t="s">
        <v>63</v>
      </c>
      <c r="K138" s="7">
        <v>724</v>
      </c>
      <c r="L138" s="7">
        <v>6</v>
      </c>
      <c r="M138" s="7" t="s">
        <v>59</v>
      </c>
      <c r="N138" s="10">
        <v>5.4533632902002624E-2</v>
      </c>
      <c r="O138" s="7">
        <v>0.25</v>
      </c>
      <c r="P138" s="7">
        <v>0.23</v>
      </c>
      <c r="R138" s="30">
        <f t="shared" si="21"/>
        <v>981.73199999999997</v>
      </c>
      <c r="S138" s="7" t="str">
        <f t="shared" si="16"/>
        <v>90-95</v>
      </c>
      <c r="T138" s="7" t="str">
        <f t="shared" si="17"/>
        <v>700-750</v>
      </c>
      <c r="U138" s="31">
        <f t="shared" si="18"/>
        <v>0.06</v>
      </c>
      <c r="V138" s="30">
        <f t="shared" si="19"/>
        <v>103184.79654252909</v>
      </c>
      <c r="W138" s="30">
        <f t="shared" si="20"/>
        <v>22616.605524955143</v>
      </c>
      <c r="X138" s="30">
        <f t="shared" si="22"/>
        <v>22616.605524955143</v>
      </c>
      <c r="Y138" s="30">
        <f t="shared" si="23"/>
        <v>1356.9963314973086</v>
      </c>
    </row>
    <row r="139" spans="1:25" x14ac:dyDescent="0.15">
      <c r="A139" s="7">
        <v>1135</v>
      </c>
      <c r="B139" s="19">
        <v>45437</v>
      </c>
      <c r="C139" s="7">
        <v>360</v>
      </c>
      <c r="D139" s="19">
        <v>45747</v>
      </c>
      <c r="E139" s="7">
        <v>10</v>
      </c>
      <c r="F139" s="29">
        <v>684156</v>
      </c>
      <c r="G139" s="29">
        <v>643524.6499357326</v>
      </c>
      <c r="H139" s="29">
        <v>760173.33333333337</v>
      </c>
      <c r="I139" s="7">
        <v>90</v>
      </c>
      <c r="J139" s="7" t="s">
        <v>65</v>
      </c>
      <c r="K139" s="7">
        <v>631</v>
      </c>
      <c r="L139" s="7">
        <v>8</v>
      </c>
      <c r="M139" s="7" t="s">
        <v>59</v>
      </c>
      <c r="N139" s="10">
        <v>5.9117743894528528E-2</v>
      </c>
      <c r="O139" s="7">
        <v>0.25</v>
      </c>
      <c r="P139" s="7">
        <v>0.31</v>
      </c>
      <c r="R139" s="30">
        <f t="shared" si="21"/>
        <v>2120.8835999999997</v>
      </c>
      <c r="S139" s="7" t="str">
        <f t="shared" si="16"/>
        <v>85-90</v>
      </c>
      <c r="T139" s="7" t="str">
        <f t="shared" si="17"/>
        <v>&lt; 650</v>
      </c>
      <c r="U139" s="31">
        <f t="shared" si="18"/>
        <v>0.05</v>
      </c>
      <c r="V139" s="30">
        <f t="shared" si="19"/>
        <v>168925.22060812981</v>
      </c>
      <c r="W139" s="30">
        <f t="shared" si="20"/>
        <v>29553.549099185853</v>
      </c>
      <c r="X139" s="30">
        <f t="shared" si="22"/>
        <v>29553.549099185853</v>
      </c>
      <c r="Y139" s="30">
        <f t="shared" si="23"/>
        <v>1477.6774549592928</v>
      </c>
    </row>
    <row r="140" spans="1:25" x14ac:dyDescent="0.15">
      <c r="A140" s="7">
        <v>1136</v>
      </c>
      <c r="B140" s="19">
        <v>45354</v>
      </c>
      <c r="C140" s="7">
        <v>360</v>
      </c>
      <c r="D140" s="19">
        <v>45747</v>
      </c>
      <c r="E140" s="7">
        <v>12</v>
      </c>
      <c r="F140" s="29">
        <v>146731</v>
      </c>
      <c r="G140" s="29">
        <v>135022.04452662767</v>
      </c>
      <c r="H140" s="29">
        <v>183413.75</v>
      </c>
      <c r="I140" s="7">
        <v>80</v>
      </c>
      <c r="J140" s="7" t="s">
        <v>62</v>
      </c>
      <c r="K140" s="7">
        <v>802</v>
      </c>
      <c r="L140" s="7">
        <v>24</v>
      </c>
      <c r="M140" s="7" t="s">
        <v>59</v>
      </c>
      <c r="N140" s="10">
        <v>6.9953446415071063E-2</v>
      </c>
      <c r="O140" s="7">
        <v>0.12</v>
      </c>
      <c r="P140" s="7">
        <v>0.35</v>
      </c>
      <c r="R140" s="30">
        <f t="shared" si="21"/>
        <v>513.55849999999998</v>
      </c>
      <c r="S140" s="7" t="str">
        <f t="shared" si="16"/>
        <v>80-85</v>
      </c>
      <c r="T140" s="7" t="str">
        <f t="shared" si="17"/>
        <v>&gt; 800</v>
      </c>
      <c r="U140" s="31">
        <f t="shared" si="18"/>
        <v>0.01</v>
      </c>
      <c r="V140" s="30">
        <f t="shared" si="19"/>
        <v>17012.777610355086</v>
      </c>
      <c r="W140" s="30">
        <f t="shared" si="20"/>
        <v>-14128.540747040941</v>
      </c>
      <c r="X140" s="30">
        <f t="shared" si="22"/>
        <v>0</v>
      </c>
      <c r="Y140" s="30">
        <f t="shared" si="23"/>
        <v>0</v>
      </c>
    </row>
    <row r="141" spans="1:25" x14ac:dyDescent="0.15">
      <c r="A141" s="7">
        <v>1137</v>
      </c>
      <c r="B141" s="19">
        <v>45361</v>
      </c>
      <c r="C141" s="7">
        <v>360</v>
      </c>
      <c r="D141" s="19">
        <v>45747</v>
      </c>
      <c r="E141" s="7">
        <v>12</v>
      </c>
      <c r="F141" s="29">
        <v>135732</v>
      </c>
      <c r="G141" s="29">
        <v>126968.90457370141</v>
      </c>
      <c r="H141" s="29">
        <v>163532.53012048194</v>
      </c>
      <c r="I141" s="7">
        <v>83</v>
      </c>
      <c r="J141" s="7" t="s">
        <v>60</v>
      </c>
      <c r="K141" s="7">
        <v>644</v>
      </c>
      <c r="L141" s="7">
        <v>32</v>
      </c>
      <c r="M141" s="7" t="s">
        <v>59</v>
      </c>
      <c r="N141" s="10">
        <v>5.0195093163057196E-2</v>
      </c>
      <c r="O141" s="7">
        <v>0.12</v>
      </c>
      <c r="P141" s="7">
        <v>0.4</v>
      </c>
      <c r="R141" s="30">
        <f t="shared" si="21"/>
        <v>542.928</v>
      </c>
      <c r="S141" s="7" t="str">
        <f t="shared" si="16"/>
        <v>80-85</v>
      </c>
      <c r="T141" s="7" t="str">
        <f t="shared" si="17"/>
        <v>&lt; 650</v>
      </c>
      <c r="U141" s="31">
        <f t="shared" si="18"/>
        <v>0.04</v>
      </c>
      <c r="V141" s="30">
        <f t="shared" si="19"/>
        <v>15998.081976286378</v>
      </c>
      <c r="W141" s="30">
        <f t="shared" si="20"/>
        <v>-5685.3008000231639</v>
      </c>
      <c r="X141" s="30">
        <f t="shared" si="22"/>
        <v>0</v>
      </c>
      <c r="Y141" s="30">
        <f t="shared" si="23"/>
        <v>0</v>
      </c>
    </row>
    <row r="142" spans="1:25" x14ac:dyDescent="0.15">
      <c r="A142" s="7">
        <v>1138</v>
      </c>
      <c r="B142" s="19">
        <v>45348</v>
      </c>
      <c r="C142" s="7">
        <v>360</v>
      </c>
      <c r="D142" s="19">
        <v>45747</v>
      </c>
      <c r="E142" s="7">
        <v>13</v>
      </c>
      <c r="F142" s="29">
        <v>191365</v>
      </c>
      <c r="G142" s="29">
        <v>174748.92444005498</v>
      </c>
      <c r="H142" s="29">
        <v>199338.54166666669</v>
      </c>
      <c r="I142" s="7">
        <v>96</v>
      </c>
      <c r="J142" s="7" t="s">
        <v>66</v>
      </c>
      <c r="K142" s="7">
        <v>609</v>
      </c>
      <c r="L142" s="7">
        <v>29</v>
      </c>
      <c r="M142" s="7" t="s">
        <v>59</v>
      </c>
      <c r="N142" s="10">
        <v>7.0389014687484402E-2</v>
      </c>
      <c r="O142" s="7">
        <v>0.3</v>
      </c>
      <c r="P142" s="7">
        <v>0.22</v>
      </c>
      <c r="R142" s="30">
        <f t="shared" si="21"/>
        <v>421.00300000000004</v>
      </c>
      <c r="S142" s="7" t="str">
        <f t="shared" si="16"/>
        <v>&gt; 95</v>
      </c>
      <c r="T142" s="7" t="str">
        <f t="shared" si="17"/>
        <v>&lt; 650</v>
      </c>
      <c r="U142" s="31">
        <f t="shared" si="18"/>
        <v>0.11</v>
      </c>
      <c r="V142" s="30">
        <f t="shared" si="19"/>
        <v>55045.911198617323</v>
      </c>
      <c r="W142" s="30">
        <f t="shared" si="20"/>
        <v>14048.610245391057</v>
      </c>
      <c r="X142" s="30">
        <f t="shared" si="22"/>
        <v>14048.610245391057</v>
      </c>
      <c r="Y142" s="30">
        <f t="shared" si="23"/>
        <v>1545.3471269930162</v>
      </c>
    </row>
    <row r="143" spans="1:25" x14ac:dyDescent="0.15">
      <c r="A143" s="7">
        <v>1139</v>
      </c>
      <c r="B143" s="19">
        <v>45397</v>
      </c>
      <c r="C143" s="7">
        <v>360</v>
      </c>
      <c r="D143" s="19">
        <v>45747</v>
      </c>
      <c r="E143" s="7">
        <v>11</v>
      </c>
      <c r="F143" s="29">
        <v>171199</v>
      </c>
      <c r="G143" s="29">
        <v>158522.28968807065</v>
      </c>
      <c r="H143" s="29">
        <v>190221.11111111109</v>
      </c>
      <c r="I143" s="7">
        <v>90</v>
      </c>
      <c r="J143" s="7" t="s">
        <v>66</v>
      </c>
      <c r="K143" s="7">
        <v>843</v>
      </c>
      <c r="L143" s="7">
        <v>3</v>
      </c>
      <c r="M143" s="7" t="s">
        <v>59</v>
      </c>
      <c r="N143" s="10">
        <v>7.1165940647365783E-2</v>
      </c>
      <c r="O143" s="7">
        <v>0.25</v>
      </c>
      <c r="P143" s="7">
        <v>0.35</v>
      </c>
      <c r="R143" s="30">
        <f t="shared" si="21"/>
        <v>599.1964999999999</v>
      </c>
      <c r="S143" s="7" t="str">
        <f t="shared" si="16"/>
        <v>85-90</v>
      </c>
      <c r="T143" s="7" t="str">
        <f t="shared" si="17"/>
        <v>&gt; 800</v>
      </c>
      <c r="U143" s="31">
        <f t="shared" si="18"/>
        <v>0.01</v>
      </c>
      <c r="V143" s="30">
        <f t="shared" si="19"/>
        <v>41612.10104311855</v>
      </c>
      <c r="W143" s="30">
        <f t="shared" si="20"/>
        <v>4760.4597280297603</v>
      </c>
      <c r="X143" s="30">
        <f t="shared" si="22"/>
        <v>4760.4597280297603</v>
      </c>
      <c r="Y143" s="30">
        <f t="shared" si="23"/>
        <v>47.604597280297604</v>
      </c>
    </row>
    <row r="144" spans="1:25" x14ac:dyDescent="0.15">
      <c r="A144" s="7">
        <v>1140</v>
      </c>
      <c r="B144" s="19">
        <v>45463</v>
      </c>
      <c r="C144" s="7">
        <v>360</v>
      </c>
      <c r="D144" s="19">
        <v>45747</v>
      </c>
      <c r="E144" s="7">
        <v>9</v>
      </c>
      <c r="F144" s="29">
        <v>202019</v>
      </c>
      <c r="G144" s="29">
        <v>189550.32450779583</v>
      </c>
      <c r="H144" s="29">
        <v>243396.38554216869</v>
      </c>
      <c r="I144" s="7">
        <v>83</v>
      </c>
      <c r="J144" s="7" t="s">
        <v>68</v>
      </c>
      <c r="K144" s="7">
        <v>646</v>
      </c>
      <c r="L144" s="7">
        <v>38</v>
      </c>
      <c r="M144" s="7" t="s">
        <v>59</v>
      </c>
      <c r="N144" s="10">
        <v>7.3030944127214573E-2</v>
      </c>
      <c r="O144" s="7">
        <v>0.12</v>
      </c>
      <c r="P144" s="7">
        <v>0.35</v>
      </c>
      <c r="R144" s="30">
        <f t="shared" si="21"/>
        <v>707.06649999999991</v>
      </c>
      <c r="S144" s="7" t="str">
        <f t="shared" si="16"/>
        <v>80-85</v>
      </c>
      <c r="T144" s="7" t="str">
        <f t="shared" si="17"/>
        <v>&lt; 650</v>
      </c>
      <c r="U144" s="31">
        <f t="shared" si="18"/>
        <v>0.04</v>
      </c>
      <c r="V144" s="30">
        <f t="shared" si="19"/>
        <v>23883.340887982275</v>
      </c>
      <c r="W144" s="30">
        <f t="shared" si="20"/>
        <v>-7859.0869776577747</v>
      </c>
      <c r="X144" s="30">
        <f t="shared" si="22"/>
        <v>0</v>
      </c>
      <c r="Y144" s="30">
        <f t="shared" si="23"/>
        <v>0</v>
      </c>
    </row>
    <row r="145" spans="1:25" x14ac:dyDescent="0.15">
      <c r="A145" s="7">
        <v>1141</v>
      </c>
      <c r="B145" s="19">
        <v>45445</v>
      </c>
      <c r="C145" s="7">
        <v>360</v>
      </c>
      <c r="D145" s="19">
        <v>45747</v>
      </c>
      <c r="E145" s="7">
        <v>9</v>
      </c>
      <c r="F145" s="29">
        <v>625530</v>
      </c>
      <c r="G145" s="29">
        <v>587144.26101885957</v>
      </c>
      <c r="H145" s="29">
        <v>744678.57142857148</v>
      </c>
      <c r="I145" s="7">
        <v>84</v>
      </c>
      <c r="J145" s="7" t="s">
        <v>66</v>
      </c>
      <c r="K145" s="7">
        <v>697</v>
      </c>
      <c r="L145" s="7">
        <v>34</v>
      </c>
      <c r="M145" s="7" t="s">
        <v>59</v>
      </c>
      <c r="N145" s="10">
        <v>7.244967043213095E-2</v>
      </c>
      <c r="O145" s="7">
        <v>0.12</v>
      </c>
      <c r="P145" s="7">
        <v>0.36</v>
      </c>
      <c r="R145" s="30">
        <f t="shared" si="21"/>
        <v>2251.9079999999999</v>
      </c>
      <c r="S145" s="7" t="str">
        <f t="shared" si="16"/>
        <v>80-85</v>
      </c>
      <c r="T145" s="7" t="str">
        <f t="shared" si="17"/>
        <v>650-700</v>
      </c>
      <c r="U145" s="31">
        <f t="shared" si="18"/>
        <v>0.03</v>
      </c>
      <c r="V145" s="30">
        <f t="shared" si="19"/>
        <v>73980.1768883763</v>
      </c>
      <c r="W145" s="30">
        <f t="shared" si="20"/>
        <v>-16475.311644483241</v>
      </c>
      <c r="X145" s="30">
        <f t="shared" si="22"/>
        <v>0</v>
      </c>
      <c r="Y145" s="30">
        <f t="shared" si="23"/>
        <v>0</v>
      </c>
    </row>
    <row r="146" spans="1:25" x14ac:dyDescent="0.15">
      <c r="A146" s="7">
        <v>1142</v>
      </c>
      <c r="B146" s="19">
        <v>45439</v>
      </c>
      <c r="C146" s="7">
        <v>360</v>
      </c>
      <c r="D146" s="19">
        <v>45747</v>
      </c>
      <c r="E146" s="7">
        <v>10</v>
      </c>
      <c r="F146" s="29">
        <v>776160</v>
      </c>
      <c r="G146" s="29">
        <v>732274.97598411061</v>
      </c>
      <c r="H146" s="29">
        <v>902511.62790697673</v>
      </c>
      <c r="I146" s="7">
        <v>86</v>
      </c>
      <c r="J146" s="7" t="s">
        <v>60</v>
      </c>
      <c r="K146" s="7">
        <v>655</v>
      </c>
      <c r="L146" s="7">
        <v>4</v>
      </c>
      <c r="M146" s="7" t="s">
        <v>59</v>
      </c>
      <c r="N146" s="10">
        <v>5.4620791630340657E-2</v>
      </c>
      <c r="O146" s="7">
        <v>0.12</v>
      </c>
      <c r="P146" s="7">
        <v>0.22</v>
      </c>
      <c r="R146" s="30">
        <f t="shared" si="21"/>
        <v>1707.5520000000001</v>
      </c>
      <c r="S146" s="7" t="str">
        <f t="shared" si="16"/>
        <v>85-90</v>
      </c>
      <c r="T146" s="7" t="str">
        <f t="shared" si="17"/>
        <v>650-700</v>
      </c>
      <c r="U146" s="31">
        <f t="shared" si="18"/>
        <v>0.04</v>
      </c>
      <c r="V146" s="30">
        <f t="shared" si="19"/>
        <v>92266.646973997937</v>
      </c>
      <c r="W146" s="30">
        <f t="shared" si="20"/>
        <v>1753.8410623859381</v>
      </c>
      <c r="X146" s="30">
        <f t="shared" si="22"/>
        <v>1753.8410623859381</v>
      </c>
      <c r="Y146" s="30">
        <f t="shared" si="23"/>
        <v>70.153642495437524</v>
      </c>
    </row>
    <row r="147" spans="1:25" x14ac:dyDescent="0.15">
      <c r="A147" s="7">
        <v>1143</v>
      </c>
      <c r="B147" s="19">
        <v>45445</v>
      </c>
      <c r="C147" s="7">
        <v>360</v>
      </c>
      <c r="D147" s="19">
        <v>45747</v>
      </c>
      <c r="E147" s="7">
        <v>9</v>
      </c>
      <c r="F147" s="29">
        <v>333314</v>
      </c>
      <c r="G147" s="29">
        <v>316140.73119891138</v>
      </c>
      <c r="H147" s="29">
        <v>350856.84210526315</v>
      </c>
      <c r="I147" s="7">
        <v>95</v>
      </c>
      <c r="J147" s="7" t="s">
        <v>72</v>
      </c>
      <c r="K147" s="7">
        <v>631</v>
      </c>
      <c r="L147" s="7">
        <v>37</v>
      </c>
      <c r="M147" s="7" t="s">
        <v>59</v>
      </c>
      <c r="N147" s="10">
        <v>5.5745549737021012E-2</v>
      </c>
      <c r="O147" s="7">
        <v>0.3</v>
      </c>
      <c r="P147" s="7">
        <v>0.4</v>
      </c>
      <c r="R147" s="30">
        <f t="shared" si="21"/>
        <v>1333.2560000000001</v>
      </c>
      <c r="S147" s="7" t="str">
        <f t="shared" si="16"/>
        <v>90-95</v>
      </c>
      <c r="T147" s="7" t="str">
        <f t="shared" si="17"/>
        <v>&lt; 650</v>
      </c>
      <c r="U147" s="31">
        <f t="shared" si="18"/>
        <v>0.08</v>
      </c>
      <c r="V147" s="30">
        <f t="shared" si="19"/>
        <v>99584.33032765708</v>
      </c>
      <c r="W147" s="30">
        <f t="shared" si="20"/>
        <v>33719.451969383284</v>
      </c>
      <c r="X147" s="30">
        <f t="shared" si="22"/>
        <v>33719.451969383284</v>
      </c>
      <c r="Y147" s="30">
        <f t="shared" si="23"/>
        <v>2697.5561575506626</v>
      </c>
    </row>
    <row r="148" spans="1:25" x14ac:dyDescent="0.15">
      <c r="A148" s="7">
        <v>1144</v>
      </c>
      <c r="B148" s="19">
        <v>45380</v>
      </c>
      <c r="C148" s="7">
        <v>360</v>
      </c>
      <c r="D148" s="19">
        <v>45747</v>
      </c>
      <c r="E148" s="7">
        <v>12</v>
      </c>
      <c r="F148" s="29">
        <v>355202</v>
      </c>
      <c r="G148" s="29">
        <v>324345.83774074866</v>
      </c>
      <c r="H148" s="29">
        <v>373896.8421052632</v>
      </c>
      <c r="I148" s="7">
        <v>95</v>
      </c>
      <c r="J148" s="7" t="s">
        <v>66</v>
      </c>
      <c r="K148" s="7">
        <v>732</v>
      </c>
      <c r="L148" s="7">
        <v>34</v>
      </c>
      <c r="M148" s="7" t="s">
        <v>59</v>
      </c>
      <c r="N148" s="10">
        <v>7.8583080639847355E-2</v>
      </c>
      <c r="O148" s="7">
        <v>0.3</v>
      </c>
      <c r="P148" s="7">
        <v>0.42</v>
      </c>
      <c r="R148" s="30">
        <f t="shared" si="21"/>
        <v>1491.8483999999999</v>
      </c>
      <c r="S148" s="7" t="str">
        <f t="shared" si="16"/>
        <v>90-95</v>
      </c>
      <c r="T148" s="7" t="str">
        <f t="shared" si="17"/>
        <v>700-750</v>
      </c>
      <c r="U148" s="31">
        <f t="shared" si="18"/>
        <v>0.06</v>
      </c>
      <c r="V148" s="30">
        <f t="shared" si="19"/>
        <v>102168.93888833583</v>
      </c>
      <c r="W148" s="30">
        <f t="shared" si="20"/>
        <v>22750.813838312402</v>
      </c>
      <c r="X148" s="30">
        <f t="shared" si="22"/>
        <v>22750.813838312402</v>
      </c>
      <c r="Y148" s="30">
        <f t="shared" si="23"/>
        <v>1365.0488302987442</v>
      </c>
    </row>
    <row r="149" spans="1:25" x14ac:dyDescent="0.15">
      <c r="A149" s="7">
        <v>1145</v>
      </c>
      <c r="B149" s="19">
        <v>45421</v>
      </c>
      <c r="C149" s="7">
        <v>360</v>
      </c>
      <c r="D149" s="19">
        <v>45747</v>
      </c>
      <c r="E149" s="7">
        <v>10</v>
      </c>
      <c r="F149" s="29">
        <v>516314</v>
      </c>
      <c r="G149" s="29">
        <v>481303.50538253452</v>
      </c>
      <c r="H149" s="29">
        <v>537827.08333333337</v>
      </c>
      <c r="I149" s="7">
        <v>96</v>
      </c>
      <c r="J149" s="7" t="s">
        <v>60</v>
      </c>
      <c r="K149" s="7">
        <v>847</v>
      </c>
      <c r="L149" s="7">
        <v>11</v>
      </c>
      <c r="M149" s="7" t="s">
        <v>59</v>
      </c>
      <c r="N149" s="10">
        <v>7.1896148308610672E-2</v>
      </c>
      <c r="O149" s="7">
        <v>0.3</v>
      </c>
      <c r="P149" s="7">
        <v>0.27</v>
      </c>
      <c r="R149" s="30">
        <f t="shared" si="21"/>
        <v>1394.0478000000001</v>
      </c>
      <c r="S149" s="7" t="str">
        <f t="shared" si="16"/>
        <v>&gt; 95</v>
      </c>
      <c r="T149" s="7" t="str">
        <f t="shared" si="17"/>
        <v>&gt; 800</v>
      </c>
      <c r="U149" s="31">
        <f t="shared" si="18"/>
        <v>0.05</v>
      </c>
      <c r="V149" s="30">
        <f t="shared" si="19"/>
        <v>151610.6041954984</v>
      </c>
      <c r="W149" s="30">
        <f t="shared" si="20"/>
        <v>48215.659818327927</v>
      </c>
      <c r="X149" s="30">
        <f t="shared" si="22"/>
        <v>48215.659818327927</v>
      </c>
      <c r="Y149" s="30">
        <f t="shared" si="23"/>
        <v>2410.7829909163966</v>
      </c>
    </row>
    <row r="150" spans="1:25" x14ac:dyDescent="0.15">
      <c r="A150" s="7">
        <v>1146</v>
      </c>
      <c r="B150" s="19">
        <v>45435</v>
      </c>
      <c r="C150" s="7">
        <v>360</v>
      </c>
      <c r="D150" s="19">
        <v>45747</v>
      </c>
      <c r="E150" s="7">
        <v>10</v>
      </c>
      <c r="F150" s="29">
        <v>374540</v>
      </c>
      <c r="G150" s="29">
        <v>354213.89255776512</v>
      </c>
      <c r="H150" s="29">
        <v>394252.63157894736</v>
      </c>
      <c r="I150" s="7">
        <v>95</v>
      </c>
      <c r="J150" s="7" t="s">
        <v>69</v>
      </c>
      <c r="K150" s="7">
        <v>796</v>
      </c>
      <c r="L150" s="7">
        <v>28</v>
      </c>
      <c r="M150" s="7" t="s">
        <v>59</v>
      </c>
      <c r="N150" s="10">
        <v>5.0958571669898492E-2</v>
      </c>
      <c r="O150" s="7">
        <v>0.3</v>
      </c>
      <c r="P150" s="7">
        <v>0.43</v>
      </c>
      <c r="R150" s="30">
        <f t="shared" si="21"/>
        <v>1610.5220000000002</v>
      </c>
      <c r="S150" s="7" t="str">
        <f t="shared" si="16"/>
        <v>90-95</v>
      </c>
      <c r="T150" s="7" t="str">
        <f t="shared" si="17"/>
        <v>750-800</v>
      </c>
      <c r="U150" s="31">
        <f t="shared" si="18"/>
        <v>0.05</v>
      </c>
      <c r="V150" s="30">
        <f t="shared" si="19"/>
        <v>111577.37615569601</v>
      </c>
      <c r="W150" s="30">
        <f t="shared" si="20"/>
        <v>36809.850343548169</v>
      </c>
      <c r="X150" s="30">
        <f t="shared" si="22"/>
        <v>36809.850343548169</v>
      </c>
      <c r="Y150" s="30">
        <f t="shared" si="23"/>
        <v>1840.4925171774084</v>
      </c>
    </row>
    <row r="151" spans="1:25" x14ac:dyDescent="0.15">
      <c r="A151" s="7">
        <v>1147</v>
      </c>
      <c r="B151" s="19">
        <v>45344</v>
      </c>
      <c r="C151" s="7">
        <v>360</v>
      </c>
      <c r="D151" s="19">
        <v>45747</v>
      </c>
      <c r="E151" s="7">
        <v>13</v>
      </c>
      <c r="F151" s="29">
        <v>112093</v>
      </c>
      <c r="G151" s="29">
        <v>103817.64625089635</v>
      </c>
      <c r="H151" s="29">
        <v>116763.54166666667</v>
      </c>
      <c r="I151" s="7">
        <v>96</v>
      </c>
      <c r="J151" s="7" t="s">
        <v>69</v>
      </c>
      <c r="K151" s="7">
        <v>748</v>
      </c>
      <c r="L151" s="7">
        <v>49</v>
      </c>
      <c r="M151" s="7" t="s">
        <v>59</v>
      </c>
      <c r="N151" s="10">
        <v>5.5016201485706177E-2</v>
      </c>
      <c r="O151" s="7">
        <v>0.3</v>
      </c>
      <c r="P151" s="7">
        <v>0.36</v>
      </c>
      <c r="R151" s="30">
        <f t="shared" si="21"/>
        <v>403.53479999999996</v>
      </c>
      <c r="S151" s="7" t="str">
        <f t="shared" si="16"/>
        <v>&gt; 95</v>
      </c>
      <c r="T151" s="7" t="str">
        <f t="shared" si="17"/>
        <v>700-750</v>
      </c>
      <c r="U151" s="31">
        <f t="shared" si="18"/>
        <v>7.0000000000000007E-2</v>
      </c>
      <c r="V151" s="30">
        <f t="shared" si="19"/>
        <v>32702.55856903235</v>
      </c>
      <c r="W151" s="30">
        <f t="shared" si="20"/>
        <v>9759.5181467744987</v>
      </c>
      <c r="X151" s="30">
        <f t="shared" si="22"/>
        <v>9759.5181467744987</v>
      </c>
      <c r="Y151" s="30">
        <f t="shared" si="23"/>
        <v>683.16627027421498</v>
      </c>
    </row>
    <row r="152" spans="1:25" x14ac:dyDescent="0.15">
      <c r="A152" s="7">
        <v>1148</v>
      </c>
      <c r="B152" s="19">
        <v>45470</v>
      </c>
      <c r="C152" s="7">
        <v>360</v>
      </c>
      <c r="D152" s="19">
        <v>45747</v>
      </c>
      <c r="E152" s="7">
        <v>9</v>
      </c>
      <c r="F152" s="29">
        <v>241566</v>
      </c>
      <c r="G152" s="29">
        <v>228740.86085977851</v>
      </c>
      <c r="H152" s="29">
        <v>256985.10638297873</v>
      </c>
      <c r="I152" s="7">
        <v>94</v>
      </c>
      <c r="J152" s="7" t="s">
        <v>61</v>
      </c>
      <c r="K152" s="7">
        <v>676</v>
      </c>
      <c r="L152" s="7">
        <v>5</v>
      </c>
      <c r="M152" s="7" t="s">
        <v>59</v>
      </c>
      <c r="N152" s="10">
        <v>5.8494730455355054E-2</v>
      </c>
      <c r="O152" s="7">
        <v>0.25</v>
      </c>
      <c r="P152" s="7">
        <v>0.28999999999999998</v>
      </c>
      <c r="R152" s="30">
        <f t="shared" si="21"/>
        <v>700.54139999999995</v>
      </c>
      <c r="S152" s="7" t="str">
        <f t="shared" si="16"/>
        <v>90-95</v>
      </c>
      <c r="T152" s="7" t="str">
        <f t="shared" si="17"/>
        <v>650-700</v>
      </c>
      <c r="U152" s="31">
        <f t="shared" si="18"/>
        <v>7.0000000000000007E-2</v>
      </c>
      <c r="V152" s="30">
        <f t="shared" si="19"/>
        <v>60044.475975691857</v>
      </c>
      <c r="W152" s="30">
        <f t="shared" si="20"/>
        <v>21740.563477235526</v>
      </c>
      <c r="X152" s="30">
        <f t="shared" si="22"/>
        <v>21740.563477235526</v>
      </c>
      <c r="Y152" s="30">
        <f t="shared" si="23"/>
        <v>1521.8394434064869</v>
      </c>
    </row>
    <row r="153" spans="1:25" x14ac:dyDescent="0.15">
      <c r="A153" s="7">
        <v>1149</v>
      </c>
      <c r="B153" s="19">
        <v>45400</v>
      </c>
      <c r="C153" s="7">
        <v>360</v>
      </c>
      <c r="D153" s="19">
        <v>45747</v>
      </c>
      <c r="E153" s="7">
        <v>11</v>
      </c>
      <c r="F153" s="29">
        <v>352400</v>
      </c>
      <c r="G153" s="29">
        <v>330515.29505023611</v>
      </c>
      <c r="H153" s="29">
        <v>409767.4418604651</v>
      </c>
      <c r="I153" s="7">
        <v>86</v>
      </c>
      <c r="J153" s="7" t="s">
        <v>68</v>
      </c>
      <c r="K153" s="7">
        <v>809</v>
      </c>
      <c r="L153" s="7">
        <v>42</v>
      </c>
      <c r="M153" s="7" t="s">
        <v>59</v>
      </c>
      <c r="N153" s="10">
        <v>5.4485091328348438E-2</v>
      </c>
      <c r="O153" s="7">
        <v>0.12</v>
      </c>
      <c r="P153" s="7">
        <v>0.28999999999999998</v>
      </c>
      <c r="R153" s="30">
        <f t="shared" si="21"/>
        <v>1021.96</v>
      </c>
      <c r="S153" s="7" t="str">
        <f t="shared" si="16"/>
        <v>85-90</v>
      </c>
      <c r="T153" s="7" t="str">
        <f t="shared" si="17"/>
        <v>&gt; 800</v>
      </c>
      <c r="U153" s="31">
        <f t="shared" si="18"/>
        <v>0.01</v>
      </c>
      <c r="V153" s="30">
        <f t="shared" si="19"/>
        <v>41644.927176329751</v>
      </c>
      <c r="W153" s="30">
        <f t="shared" si="20"/>
        <v>-1261.2657786473865</v>
      </c>
      <c r="X153" s="30">
        <f t="shared" si="22"/>
        <v>0</v>
      </c>
      <c r="Y153" s="30">
        <f t="shared" si="23"/>
        <v>0</v>
      </c>
    </row>
    <row r="154" spans="1:25" x14ac:dyDescent="0.15">
      <c r="A154" s="7">
        <v>1150</v>
      </c>
      <c r="B154" s="19">
        <v>45315</v>
      </c>
      <c r="C154" s="7">
        <v>360</v>
      </c>
      <c r="D154" s="19">
        <v>45747</v>
      </c>
      <c r="E154" s="7">
        <v>14</v>
      </c>
      <c r="F154" s="29">
        <v>518988</v>
      </c>
      <c r="G154" s="29">
        <v>475400.52862813196</v>
      </c>
      <c r="H154" s="29">
        <v>546303.15789473685</v>
      </c>
      <c r="I154" s="7">
        <v>95</v>
      </c>
      <c r="J154" s="7" t="s">
        <v>65</v>
      </c>
      <c r="K154" s="7">
        <v>816</v>
      </c>
      <c r="L154" s="7">
        <v>19</v>
      </c>
      <c r="M154" s="7" t="s">
        <v>59</v>
      </c>
      <c r="N154" s="10">
        <v>6.0053805261027285E-2</v>
      </c>
      <c r="O154" s="7">
        <v>0.3</v>
      </c>
      <c r="P154" s="7">
        <v>0.31</v>
      </c>
      <c r="R154" s="30">
        <f t="shared" si="21"/>
        <v>1608.8627999999999</v>
      </c>
      <c r="S154" s="7" t="str">
        <f t="shared" si="16"/>
        <v>90-95</v>
      </c>
      <c r="T154" s="7" t="str">
        <f t="shared" si="17"/>
        <v>&gt; 800</v>
      </c>
      <c r="U154" s="31">
        <f t="shared" si="18"/>
        <v>0.04</v>
      </c>
      <c r="V154" s="30">
        <f t="shared" si="19"/>
        <v>149751.16651786157</v>
      </c>
      <c r="W154" s="30">
        <f t="shared" si="20"/>
        <v>34812.870849012281</v>
      </c>
      <c r="X154" s="30">
        <f t="shared" si="22"/>
        <v>34812.870849012281</v>
      </c>
      <c r="Y154" s="30">
        <f t="shared" si="23"/>
        <v>1392.5148339604912</v>
      </c>
    </row>
    <row r="155" spans="1:25" x14ac:dyDescent="0.15">
      <c r="A155" s="7">
        <v>1151</v>
      </c>
      <c r="B155" s="19">
        <v>45448</v>
      </c>
      <c r="C155" s="7">
        <v>360</v>
      </c>
      <c r="D155" s="19">
        <v>45747</v>
      </c>
      <c r="E155" s="7">
        <v>9</v>
      </c>
      <c r="F155" s="29">
        <v>353632</v>
      </c>
      <c r="G155" s="29">
        <v>332648.8237577519</v>
      </c>
      <c r="H155" s="29">
        <v>384382.60869565216</v>
      </c>
      <c r="I155" s="7">
        <v>92</v>
      </c>
      <c r="J155" s="7" t="s">
        <v>73</v>
      </c>
      <c r="K155" s="7">
        <v>623</v>
      </c>
      <c r="L155" s="7">
        <v>26</v>
      </c>
      <c r="M155" s="7" t="s">
        <v>59</v>
      </c>
      <c r="N155" s="10">
        <v>6.9103270086006405E-2</v>
      </c>
      <c r="O155" s="7">
        <v>0.25</v>
      </c>
      <c r="P155" s="7">
        <v>0.24</v>
      </c>
      <c r="R155" s="30">
        <f t="shared" si="21"/>
        <v>848.71679999999992</v>
      </c>
      <c r="S155" s="7" t="str">
        <f t="shared" si="16"/>
        <v>90-95</v>
      </c>
      <c r="T155" s="7" t="str">
        <f t="shared" si="17"/>
        <v>&lt; 650</v>
      </c>
      <c r="U155" s="31">
        <f t="shared" si="18"/>
        <v>0.08</v>
      </c>
      <c r="V155" s="30">
        <f t="shared" si="19"/>
        <v>87320.316236409883</v>
      </c>
      <c r="W155" s="30">
        <f t="shared" si="20"/>
        <v>22556.047554335208</v>
      </c>
      <c r="X155" s="30">
        <f t="shared" si="22"/>
        <v>22556.047554335208</v>
      </c>
      <c r="Y155" s="30">
        <f t="shared" si="23"/>
        <v>1804.4838043468167</v>
      </c>
    </row>
    <row r="156" spans="1:25" x14ac:dyDescent="0.15">
      <c r="A156" s="7">
        <v>1152</v>
      </c>
      <c r="B156" s="19">
        <v>45431</v>
      </c>
      <c r="C156" s="7">
        <v>360</v>
      </c>
      <c r="D156" s="19">
        <v>45747</v>
      </c>
      <c r="E156" s="7">
        <v>10</v>
      </c>
      <c r="F156" s="29">
        <v>376373</v>
      </c>
      <c r="G156" s="29">
        <v>351543.89837276866</v>
      </c>
      <c r="H156" s="29">
        <v>442791.76470588235</v>
      </c>
      <c r="I156" s="7">
        <v>85</v>
      </c>
      <c r="J156" s="7" t="s">
        <v>63</v>
      </c>
      <c r="K156" s="7">
        <v>616</v>
      </c>
      <c r="L156" s="7">
        <v>42</v>
      </c>
      <c r="M156" s="7" t="s">
        <v>59</v>
      </c>
      <c r="N156" s="10">
        <v>6.9163487260679488E-2</v>
      </c>
      <c r="O156" s="7">
        <v>0.12</v>
      </c>
      <c r="P156" s="7">
        <v>0.39</v>
      </c>
      <c r="R156" s="30">
        <f t="shared" si="21"/>
        <v>1467.8547000000001</v>
      </c>
      <c r="S156" s="7" t="str">
        <f t="shared" si="16"/>
        <v>80-85</v>
      </c>
      <c r="T156" s="7" t="str">
        <f t="shared" si="17"/>
        <v>&lt; 650</v>
      </c>
      <c r="U156" s="31">
        <f t="shared" si="18"/>
        <v>0.04</v>
      </c>
      <c r="V156" s="30">
        <f t="shared" si="19"/>
        <v>44294.531194968848</v>
      </c>
      <c r="W156" s="30">
        <f t="shared" si="20"/>
        <v>-7251.9067085928982</v>
      </c>
      <c r="X156" s="30">
        <f t="shared" si="22"/>
        <v>0</v>
      </c>
      <c r="Y156" s="30">
        <f t="shared" si="23"/>
        <v>0</v>
      </c>
    </row>
    <row r="157" spans="1:25" x14ac:dyDescent="0.15">
      <c r="A157" s="7">
        <v>1153</v>
      </c>
      <c r="B157" s="19">
        <v>45342</v>
      </c>
      <c r="C157" s="7">
        <v>360</v>
      </c>
      <c r="D157" s="19">
        <v>45747</v>
      </c>
      <c r="E157" s="7">
        <v>13</v>
      </c>
      <c r="F157" s="29">
        <v>633111</v>
      </c>
      <c r="G157" s="29">
        <v>574541.31488577405</v>
      </c>
      <c r="H157" s="29">
        <v>736175.58139534888</v>
      </c>
      <c r="I157" s="7">
        <v>86</v>
      </c>
      <c r="J157" s="7" t="s">
        <v>74</v>
      </c>
      <c r="K157" s="7">
        <v>666</v>
      </c>
      <c r="L157" s="7">
        <v>39</v>
      </c>
      <c r="M157" s="7" t="s">
        <v>59</v>
      </c>
      <c r="N157" s="10">
        <v>7.6806009743033213E-2</v>
      </c>
      <c r="O157" s="7">
        <v>0.12</v>
      </c>
      <c r="P157" s="7">
        <v>0.4</v>
      </c>
      <c r="R157" s="30">
        <f t="shared" si="21"/>
        <v>2532.4440000000004</v>
      </c>
      <c r="S157" s="7" t="str">
        <f t="shared" si="16"/>
        <v>85-90</v>
      </c>
      <c r="T157" s="7" t="str">
        <f t="shared" si="17"/>
        <v>650-700</v>
      </c>
      <c r="U157" s="31">
        <f t="shared" si="18"/>
        <v>0.04</v>
      </c>
      <c r="V157" s="30">
        <f t="shared" si="19"/>
        <v>72392.205675607533</v>
      </c>
      <c r="W157" s="30">
        <f t="shared" si="20"/>
        <v>-22480.863555983757</v>
      </c>
      <c r="X157" s="30">
        <f t="shared" si="22"/>
        <v>0</v>
      </c>
      <c r="Y157" s="30">
        <f t="shared" si="23"/>
        <v>0</v>
      </c>
    </row>
    <row r="158" spans="1:25" x14ac:dyDescent="0.15">
      <c r="A158" s="7">
        <v>1154</v>
      </c>
      <c r="B158" s="19">
        <v>45415</v>
      </c>
      <c r="C158" s="7">
        <v>360</v>
      </c>
      <c r="D158" s="19">
        <v>45747</v>
      </c>
      <c r="E158" s="7">
        <v>10</v>
      </c>
      <c r="F158" s="29">
        <v>787850</v>
      </c>
      <c r="G158" s="29">
        <v>733111.23821817304</v>
      </c>
      <c r="H158" s="29">
        <v>885224.71910112363</v>
      </c>
      <c r="I158" s="7">
        <v>89</v>
      </c>
      <c r="J158" s="7" t="s">
        <v>66</v>
      </c>
      <c r="K158" s="7">
        <v>623</v>
      </c>
      <c r="L158" s="7">
        <v>2</v>
      </c>
      <c r="M158" s="7" t="s">
        <v>59</v>
      </c>
      <c r="N158" s="10">
        <v>7.4352571901878134E-2</v>
      </c>
      <c r="O158" s="7">
        <v>0.12</v>
      </c>
      <c r="P158" s="7">
        <v>0.21</v>
      </c>
      <c r="R158" s="30">
        <f t="shared" si="21"/>
        <v>1654.4849999999999</v>
      </c>
      <c r="S158" s="7" t="str">
        <f t="shared" si="16"/>
        <v>85-90</v>
      </c>
      <c r="T158" s="7" t="str">
        <f t="shared" si="17"/>
        <v>&lt; 650</v>
      </c>
      <c r="U158" s="31">
        <f t="shared" si="18"/>
        <v>0.05</v>
      </c>
      <c r="V158" s="30">
        <f t="shared" si="19"/>
        <v>92372.016015489804</v>
      </c>
      <c r="W158" s="30">
        <f t="shared" si="20"/>
        <v>17325.78889312665</v>
      </c>
      <c r="X158" s="30">
        <f t="shared" si="22"/>
        <v>17325.78889312665</v>
      </c>
      <c r="Y158" s="30">
        <f t="shared" si="23"/>
        <v>866.28944465633253</v>
      </c>
    </row>
    <row r="159" spans="1:25" x14ac:dyDescent="0.15">
      <c r="A159" s="7">
        <v>1155</v>
      </c>
      <c r="B159" s="19">
        <v>45340</v>
      </c>
      <c r="C159" s="7">
        <v>360</v>
      </c>
      <c r="D159" s="19">
        <v>45747</v>
      </c>
      <c r="E159" s="7">
        <v>13</v>
      </c>
      <c r="F159" s="29">
        <v>144078</v>
      </c>
      <c r="G159" s="29">
        <v>132041.02285868643</v>
      </c>
      <c r="H159" s="29">
        <v>173587.95180722894</v>
      </c>
      <c r="I159" s="7">
        <v>83</v>
      </c>
      <c r="J159" s="7" t="s">
        <v>68</v>
      </c>
      <c r="K159" s="7">
        <v>841</v>
      </c>
      <c r="L159" s="7">
        <v>40</v>
      </c>
      <c r="M159" s="7" t="s">
        <v>59</v>
      </c>
      <c r="N159" s="10">
        <v>6.6603908415554622E-2</v>
      </c>
      <c r="O159" s="7">
        <v>0.12</v>
      </c>
      <c r="P159" s="7">
        <v>0.41</v>
      </c>
      <c r="R159" s="30">
        <f t="shared" si="21"/>
        <v>590.71979999999996</v>
      </c>
      <c r="S159" s="7" t="str">
        <f t="shared" si="16"/>
        <v>80-85</v>
      </c>
      <c r="T159" s="7" t="str">
        <f t="shared" si="17"/>
        <v>&gt; 800</v>
      </c>
      <c r="U159" s="31">
        <f t="shared" si="18"/>
        <v>0.01</v>
      </c>
      <c r="V159" s="30">
        <f t="shared" si="19"/>
        <v>16637.168880194491</v>
      </c>
      <c r="W159" s="30">
        <f t="shared" si="20"/>
        <v>-8906.6850345238345</v>
      </c>
      <c r="X159" s="30">
        <f t="shared" si="22"/>
        <v>0</v>
      </c>
      <c r="Y159" s="30">
        <f t="shared" si="23"/>
        <v>0</v>
      </c>
    </row>
    <row r="160" spans="1:25" x14ac:dyDescent="0.15">
      <c r="A160" s="7">
        <v>1156</v>
      </c>
      <c r="B160" s="19">
        <v>45327</v>
      </c>
      <c r="C160" s="7">
        <v>360</v>
      </c>
      <c r="D160" s="19">
        <v>45747</v>
      </c>
      <c r="E160" s="7">
        <v>13</v>
      </c>
      <c r="F160" s="29">
        <v>655196</v>
      </c>
      <c r="G160" s="29">
        <v>606817.35179757664</v>
      </c>
      <c r="H160" s="29">
        <v>689680</v>
      </c>
      <c r="I160" s="7">
        <v>95</v>
      </c>
      <c r="J160" s="7" t="s">
        <v>71</v>
      </c>
      <c r="K160" s="7">
        <v>740</v>
      </c>
      <c r="L160" s="7">
        <v>0</v>
      </c>
      <c r="M160" s="7" t="s">
        <v>59</v>
      </c>
      <c r="N160" s="10">
        <v>5.503171034745595E-2</v>
      </c>
      <c r="O160" s="7">
        <v>0.3</v>
      </c>
      <c r="P160" s="7">
        <v>0.25</v>
      </c>
      <c r="R160" s="30">
        <f t="shared" si="21"/>
        <v>1637.99</v>
      </c>
      <c r="S160" s="7" t="str">
        <f t="shared" si="16"/>
        <v>90-95</v>
      </c>
      <c r="T160" s="7" t="str">
        <f t="shared" si="17"/>
        <v>700-750</v>
      </c>
      <c r="U160" s="31">
        <f t="shared" si="18"/>
        <v>0.06</v>
      </c>
      <c r="V160" s="30">
        <f t="shared" si="19"/>
        <v>191147.46581623665</v>
      </c>
      <c r="W160" s="30">
        <f t="shared" si="20"/>
        <v>50930.219387455494</v>
      </c>
      <c r="X160" s="30">
        <f t="shared" si="22"/>
        <v>50930.219387455494</v>
      </c>
      <c r="Y160" s="30">
        <f t="shared" si="23"/>
        <v>3055.8131632473296</v>
      </c>
    </row>
    <row r="161" spans="1:25" x14ac:dyDescent="0.15">
      <c r="A161" s="7">
        <v>1157</v>
      </c>
      <c r="B161" s="19">
        <v>45316</v>
      </c>
      <c r="C161" s="7">
        <v>360</v>
      </c>
      <c r="D161" s="19">
        <v>45747</v>
      </c>
      <c r="E161" s="7">
        <v>14</v>
      </c>
      <c r="F161" s="29">
        <v>767090</v>
      </c>
      <c r="G161" s="29">
        <v>704424.20335895452</v>
      </c>
      <c r="H161" s="29">
        <v>861898.8764044944</v>
      </c>
      <c r="I161" s="7">
        <v>89</v>
      </c>
      <c r="J161" s="7" t="s">
        <v>66</v>
      </c>
      <c r="K161" s="7">
        <v>765</v>
      </c>
      <c r="L161" s="7">
        <v>20</v>
      </c>
      <c r="M161" s="7" t="s">
        <v>59</v>
      </c>
      <c r="N161" s="10">
        <v>5.7491777175140861E-2</v>
      </c>
      <c r="O161" s="7">
        <v>0.12</v>
      </c>
      <c r="P161" s="7">
        <v>0.23</v>
      </c>
      <c r="R161" s="30">
        <f t="shared" si="21"/>
        <v>1764.307</v>
      </c>
      <c r="S161" s="7" t="str">
        <f t="shared" si="16"/>
        <v>85-90</v>
      </c>
      <c r="T161" s="7" t="str">
        <f t="shared" si="17"/>
        <v>750-800</v>
      </c>
      <c r="U161" s="31">
        <f t="shared" si="18"/>
        <v>0.02</v>
      </c>
      <c r="V161" s="30">
        <f t="shared" si="19"/>
        <v>88757.449623228269</v>
      </c>
      <c r="W161" s="30">
        <f t="shared" si="20"/>
        <v>7031.368583082105</v>
      </c>
      <c r="X161" s="30">
        <f t="shared" si="22"/>
        <v>7031.368583082105</v>
      </c>
      <c r="Y161" s="30">
        <f t="shared" si="23"/>
        <v>140.62737166164212</v>
      </c>
    </row>
    <row r="162" spans="1:25" x14ac:dyDescent="0.15">
      <c r="A162" s="7">
        <v>1158</v>
      </c>
      <c r="B162" s="19">
        <v>45402</v>
      </c>
      <c r="C162" s="7">
        <v>360</v>
      </c>
      <c r="D162" s="19">
        <v>45747</v>
      </c>
      <c r="E162" s="7">
        <v>11</v>
      </c>
      <c r="F162" s="29">
        <v>742215</v>
      </c>
      <c r="G162" s="29">
        <v>685537.17225803889</v>
      </c>
      <c r="H162" s="29">
        <v>883589.2857142858</v>
      </c>
      <c r="I162" s="7">
        <v>84</v>
      </c>
      <c r="J162" s="7" t="s">
        <v>72</v>
      </c>
      <c r="K162" s="7">
        <v>604</v>
      </c>
      <c r="L162" s="7">
        <v>3</v>
      </c>
      <c r="M162" s="7" t="s">
        <v>59</v>
      </c>
      <c r="N162" s="10">
        <v>7.4268130381436481E-2</v>
      </c>
      <c r="O162" s="7">
        <v>0.12</v>
      </c>
      <c r="P162" s="7">
        <v>0.28999999999999998</v>
      </c>
      <c r="R162" s="30">
        <f t="shared" si="21"/>
        <v>2152.4234999999999</v>
      </c>
      <c r="S162" s="7" t="str">
        <f t="shared" si="16"/>
        <v>80-85</v>
      </c>
      <c r="T162" s="7" t="str">
        <f t="shared" si="17"/>
        <v>&lt; 650</v>
      </c>
      <c r="U162" s="31">
        <f t="shared" si="18"/>
        <v>0.04</v>
      </c>
      <c r="V162" s="30">
        <f t="shared" si="19"/>
        <v>86377.683704512907</v>
      </c>
      <c r="W162" s="30">
        <f t="shared" si="20"/>
        <v>-31236.861986202071</v>
      </c>
      <c r="X162" s="30">
        <f t="shared" si="22"/>
        <v>0</v>
      </c>
      <c r="Y162" s="30">
        <f t="shared" si="23"/>
        <v>0</v>
      </c>
    </row>
    <row r="163" spans="1:25" x14ac:dyDescent="0.15">
      <c r="A163" s="7">
        <v>1159</v>
      </c>
      <c r="B163" s="19">
        <v>45387</v>
      </c>
      <c r="C163" s="7">
        <v>360</v>
      </c>
      <c r="D163" s="19">
        <v>45747</v>
      </c>
      <c r="E163" s="7">
        <v>11</v>
      </c>
      <c r="F163" s="29">
        <v>364681</v>
      </c>
      <c r="G163" s="29">
        <v>343145.88710759941</v>
      </c>
      <c r="H163" s="29">
        <v>455851.25</v>
      </c>
      <c r="I163" s="7">
        <v>80</v>
      </c>
      <c r="J163" s="7" t="s">
        <v>73</v>
      </c>
      <c r="K163" s="7">
        <v>689</v>
      </c>
      <c r="L163" s="7">
        <v>30</v>
      </c>
      <c r="M163" s="7" t="s">
        <v>59</v>
      </c>
      <c r="N163" s="10">
        <v>5.0002291497980259E-2</v>
      </c>
      <c r="O163" s="7">
        <v>0.12</v>
      </c>
      <c r="P163" s="7">
        <v>0.22</v>
      </c>
      <c r="R163" s="30">
        <f t="shared" si="21"/>
        <v>802.29820000000007</v>
      </c>
      <c r="S163" s="7" t="str">
        <f t="shared" si="16"/>
        <v>80-85</v>
      </c>
      <c r="T163" s="7" t="str">
        <f t="shared" si="17"/>
        <v>650-700</v>
      </c>
      <c r="U163" s="31">
        <f t="shared" si="18"/>
        <v>0.03</v>
      </c>
      <c r="V163" s="30">
        <f t="shared" si="19"/>
        <v>43236.381775557529</v>
      </c>
      <c r="W163" s="30">
        <f t="shared" si="20"/>
        <v>-27170.38103702059</v>
      </c>
      <c r="X163" s="30">
        <f t="shared" si="22"/>
        <v>0</v>
      </c>
      <c r="Y163" s="30">
        <f t="shared" si="23"/>
        <v>0</v>
      </c>
    </row>
    <row r="164" spans="1:25" x14ac:dyDescent="0.15">
      <c r="A164" s="7">
        <v>1160</v>
      </c>
      <c r="B164" s="19">
        <v>45445</v>
      </c>
      <c r="C164" s="7">
        <v>360</v>
      </c>
      <c r="D164" s="19">
        <v>45747</v>
      </c>
      <c r="E164" s="7">
        <v>9</v>
      </c>
      <c r="F164" s="29">
        <v>515795</v>
      </c>
      <c r="G164" s="29">
        <v>486383.89013670647</v>
      </c>
      <c r="H164" s="29">
        <v>537286.45833333337</v>
      </c>
      <c r="I164" s="7">
        <v>96</v>
      </c>
      <c r="J164" s="7" t="s">
        <v>68</v>
      </c>
      <c r="K164" s="7">
        <v>817</v>
      </c>
      <c r="L164" s="7">
        <v>2</v>
      </c>
      <c r="M164" s="7" t="s">
        <v>59</v>
      </c>
      <c r="N164" s="10">
        <v>6.5227644748365426E-2</v>
      </c>
      <c r="O164" s="7">
        <v>0.3</v>
      </c>
      <c r="P164" s="7">
        <v>0.31</v>
      </c>
      <c r="R164" s="30">
        <f t="shared" si="21"/>
        <v>1598.9645</v>
      </c>
      <c r="S164" s="7" t="str">
        <f t="shared" si="16"/>
        <v>&gt; 95</v>
      </c>
      <c r="T164" s="7" t="str">
        <f t="shared" si="17"/>
        <v>&gt; 800</v>
      </c>
      <c r="U164" s="31">
        <f t="shared" si="18"/>
        <v>0.05</v>
      </c>
      <c r="V164" s="30">
        <f t="shared" si="19"/>
        <v>153210.92539306256</v>
      </c>
      <c r="W164" s="30">
        <f t="shared" si="20"/>
        <v>54009.595060208463</v>
      </c>
      <c r="X164" s="30">
        <f t="shared" si="22"/>
        <v>54009.595060208463</v>
      </c>
      <c r="Y164" s="30">
        <f t="shared" si="23"/>
        <v>2700.4797530104233</v>
      </c>
    </row>
    <row r="165" spans="1:25" x14ac:dyDescent="0.15">
      <c r="A165" s="7">
        <v>1161</v>
      </c>
      <c r="B165" s="19">
        <v>45390</v>
      </c>
      <c r="C165" s="7">
        <v>360</v>
      </c>
      <c r="D165" s="19">
        <v>45747</v>
      </c>
      <c r="E165" s="7">
        <v>11</v>
      </c>
      <c r="F165" s="29">
        <v>101872</v>
      </c>
      <c r="G165" s="29">
        <v>95685.064605159292</v>
      </c>
      <c r="H165" s="29">
        <v>108374.46808510639</v>
      </c>
      <c r="I165" s="7">
        <v>94</v>
      </c>
      <c r="J165" s="7" t="s">
        <v>67</v>
      </c>
      <c r="K165" s="7">
        <v>795</v>
      </c>
      <c r="L165" s="7">
        <v>25</v>
      </c>
      <c r="M165" s="7" t="s">
        <v>59</v>
      </c>
      <c r="N165" s="10">
        <v>5.2485373904912425E-2</v>
      </c>
      <c r="O165" s="7">
        <v>0.25</v>
      </c>
      <c r="P165" s="7">
        <v>0.21</v>
      </c>
      <c r="R165" s="30">
        <f t="shared" si="21"/>
        <v>213.93119999999999</v>
      </c>
      <c r="S165" s="7" t="str">
        <f t="shared" si="16"/>
        <v>90-95</v>
      </c>
      <c r="T165" s="7" t="str">
        <f t="shared" si="17"/>
        <v>750-800</v>
      </c>
      <c r="U165" s="31">
        <f t="shared" si="18"/>
        <v>0.05</v>
      </c>
      <c r="V165" s="30">
        <f t="shared" si="19"/>
        <v>25117.329458854314</v>
      </c>
      <c r="W165" s="30">
        <f t="shared" si="20"/>
        <v>8351.0199630768329</v>
      </c>
      <c r="X165" s="30">
        <f t="shared" si="22"/>
        <v>8351.0199630768329</v>
      </c>
      <c r="Y165" s="30">
        <f t="shared" si="23"/>
        <v>417.55099815384165</v>
      </c>
    </row>
    <row r="166" spans="1:25" x14ac:dyDescent="0.15">
      <c r="A166" s="7">
        <v>1162</v>
      </c>
      <c r="B166" s="19">
        <v>45334</v>
      </c>
      <c r="C166" s="7">
        <v>360</v>
      </c>
      <c r="D166" s="19">
        <v>45747</v>
      </c>
      <c r="E166" s="7">
        <v>13</v>
      </c>
      <c r="F166" s="29">
        <v>740890</v>
      </c>
      <c r="G166" s="29">
        <v>687197.94798886473</v>
      </c>
      <c r="H166" s="29">
        <v>805315.21739130432</v>
      </c>
      <c r="I166" s="7">
        <v>92</v>
      </c>
      <c r="J166" s="7" t="s">
        <v>65</v>
      </c>
      <c r="K166" s="7">
        <v>842</v>
      </c>
      <c r="L166" s="7">
        <v>30</v>
      </c>
      <c r="M166" s="7" t="s">
        <v>59</v>
      </c>
      <c r="N166" s="10">
        <v>5.3346599854068817E-2</v>
      </c>
      <c r="O166" s="7">
        <v>0.25</v>
      </c>
      <c r="P166" s="7">
        <v>0.44</v>
      </c>
      <c r="R166" s="30">
        <f t="shared" si="21"/>
        <v>3259.9159999999997</v>
      </c>
      <c r="S166" s="7" t="str">
        <f t="shared" si="16"/>
        <v>90-95</v>
      </c>
      <c r="T166" s="7" t="str">
        <f t="shared" si="17"/>
        <v>&gt; 800</v>
      </c>
      <c r="U166" s="31">
        <f t="shared" si="18"/>
        <v>0.04</v>
      </c>
      <c r="V166" s="30">
        <f t="shared" si="19"/>
        <v>180389.46134707701</v>
      </c>
      <c r="W166" s="30">
        <f t="shared" si="20"/>
        <v>37039.910605699406</v>
      </c>
      <c r="X166" s="30">
        <f t="shared" si="22"/>
        <v>37039.910605699406</v>
      </c>
      <c r="Y166" s="30">
        <f t="shared" si="23"/>
        <v>1481.5964242279763</v>
      </c>
    </row>
    <row r="167" spans="1:25" x14ac:dyDescent="0.15">
      <c r="A167" s="7">
        <v>1163</v>
      </c>
      <c r="B167" s="19">
        <v>45404</v>
      </c>
      <c r="C167" s="7">
        <v>360</v>
      </c>
      <c r="D167" s="19">
        <v>45747</v>
      </c>
      <c r="E167" s="7">
        <v>11</v>
      </c>
      <c r="F167" s="29">
        <v>225068</v>
      </c>
      <c r="G167" s="29">
        <v>210715.199243626</v>
      </c>
      <c r="H167" s="29">
        <v>239434.04255319151</v>
      </c>
      <c r="I167" s="7">
        <v>94</v>
      </c>
      <c r="J167" s="7" t="s">
        <v>74</v>
      </c>
      <c r="K167" s="7">
        <v>620</v>
      </c>
      <c r="L167" s="7">
        <v>23</v>
      </c>
      <c r="M167" s="7" t="s">
        <v>59</v>
      </c>
      <c r="N167" s="10">
        <v>5.6895114706134765E-2</v>
      </c>
      <c r="O167" s="7">
        <v>0.25</v>
      </c>
      <c r="P167" s="7">
        <v>0.28000000000000003</v>
      </c>
      <c r="R167" s="30">
        <f t="shared" si="21"/>
        <v>630.19040000000007</v>
      </c>
      <c r="S167" s="7" t="str">
        <f t="shared" si="16"/>
        <v>90-95</v>
      </c>
      <c r="T167" s="7" t="str">
        <f t="shared" si="17"/>
        <v>&lt; 650</v>
      </c>
      <c r="U167" s="31">
        <f t="shared" si="18"/>
        <v>0.08</v>
      </c>
      <c r="V167" s="30">
        <f t="shared" si="19"/>
        <v>55312.739801451826</v>
      </c>
      <c r="W167" s="30">
        <f t="shared" si="20"/>
        <v>17732.023035594524</v>
      </c>
      <c r="X167" s="30">
        <f t="shared" si="22"/>
        <v>17732.023035594524</v>
      </c>
      <c r="Y167" s="30">
        <f t="shared" si="23"/>
        <v>1418.561842847562</v>
      </c>
    </row>
    <row r="168" spans="1:25" x14ac:dyDescent="0.15">
      <c r="A168" s="7">
        <v>1164</v>
      </c>
      <c r="B168" s="19">
        <v>45446</v>
      </c>
      <c r="C168" s="7">
        <v>360</v>
      </c>
      <c r="D168" s="19">
        <v>45747</v>
      </c>
      <c r="E168" s="7">
        <v>9</v>
      </c>
      <c r="F168" s="29">
        <v>316232</v>
      </c>
      <c r="G168" s="29">
        <v>300807.51873634174</v>
      </c>
      <c r="H168" s="29">
        <v>347507.69230769231</v>
      </c>
      <c r="I168" s="7">
        <v>91</v>
      </c>
      <c r="J168" s="7" t="s">
        <v>74</v>
      </c>
      <c r="K168" s="7">
        <v>734</v>
      </c>
      <c r="L168" s="7">
        <v>45</v>
      </c>
      <c r="M168" s="7" t="s">
        <v>59</v>
      </c>
      <c r="N168" s="10">
        <v>5.0837837681025448E-2</v>
      </c>
      <c r="O168" s="7">
        <v>0.25</v>
      </c>
      <c r="P168" s="7">
        <v>0.37</v>
      </c>
      <c r="R168" s="30">
        <f t="shared" si="21"/>
        <v>1170.0583999999999</v>
      </c>
      <c r="S168" s="7" t="str">
        <f t="shared" si="16"/>
        <v>90-95</v>
      </c>
      <c r="T168" s="7" t="str">
        <f t="shared" si="17"/>
        <v>700-750</v>
      </c>
      <c r="U168" s="31">
        <f t="shared" si="18"/>
        <v>0.06</v>
      </c>
      <c r="V168" s="30">
        <f t="shared" si="19"/>
        <v>78961.973668289706</v>
      </c>
      <c r="W168" s="30">
        <f t="shared" si="20"/>
        <v>20466.356211620383</v>
      </c>
      <c r="X168" s="30">
        <f t="shared" si="22"/>
        <v>20466.356211620383</v>
      </c>
      <c r="Y168" s="30">
        <f t="shared" si="23"/>
        <v>1227.9813726972229</v>
      </c>
    </row>
    <row r="169" spans="1:25" x14ac:dyDescent="0.15">
      <c r="A169" s="7">
        <v>1165</v>
      </c>
      <c r="B169" s="19">
        <v>45393</v>
      </c>
      <c r="C169" s="7">
        <v>360</v>
      </c>
      <c r="D169" s="19">
        <v>45747</v>
      </c>
      <c r="E169" s="7">
        <v>11</v>
      </c>
      <c r="F169" s="29">
        <v>524045</v>
      </c>
      <c r="G169" s="29">
        <v>492263.08135748503</v>
      </c>
      <c r="H169" s="29">
        <v>655056.25</v>
      </c>
      <c r="I169" s="7">
        <v>80</v>
      </c>
      <c r="J169" s="7" t="s">
        <v>70</v>
      </c>
      <c r="K169" s="7">
        <v>798</v>
      </c>
      <c r="L169" s="7">
        <v>37</v>
      </c>
      <c r="M169" s="7" t="s">
        <v>59</v>
      </c>
      <c r="N169" s="10">
        <v>5.2360367498137279E-2</v>
      </c>
      <c r="O169" s="7">
        <v>0.12</v>
      </c>
      <c r="P169" s="7">
        <v>0.27</v>
      </c>
      <c r="R169" s="30">
        <f t="shared" si="21"/>
        <v>1414.9215000000002</v>
      </c>
      <c r="S169" s="7" t="str">
        <f t="shared" si="16"/>
        <v>80-85</v>
      </c>
      <c r="T169" s="7" t="str">
        <f t="shared" si="17"/>
        <v>750-800</v>
      </c>
      <c r="U169" s="31">
        <f t="shared" si="18"/>
        <v>0.02</v>
      </c>
      <c r="V169" s="30">
        <f t="shared" si="19"/>
        <v>62025.148251043109</v>
      </c>
      <c r="W169" s="30">
        <f t="shared" si="20"/>
        <v>-39921.577074640722</v>
      </c>
      <c r="X169" s="30">
        <f t="shared" si="22"/>
        <v>0</v>
      </c>
      <c r="Y169" s="30">
        <f t="shared" si="23"/>
        <v>0</v>
      </c>
    </row>
    <row r="170" spans="1:25" x14ac:dyDescent="0.15">
      <c r="A170" s="7">
        <v>1166</v>
      </c>
      <c r="B170" s="19">
        <v>45403</v>
      </c>
      <c r="C170" s="7">
        <v>360</v>
      </c>
      <c r="D170" s="19">
        <v>45747</v>
      </c>
      <c r="E170" s="7">
        <v>11</v>
      </c>
      <c r="F170" s="29">
        <v>468501</v>
      </c>
      <c r="G170" s="29">
        <v>434004.94555446639</v>
      </c>
      <c r="H170" s="29">
        <v>557739.28571428568</v>
      </c>
      <c r="I170" s="7">
        <v>84</v>
      </c>
      <c r="J170" s="7" t="s">
        <v>68</v>
      </c>
      <c r="K170" s="7">
        <v>604</v>
      </c>
      <c r="L170" s="7">
        <v>7</v>
      </c>
      <c r="M170" s="7" t="s">
        <v>59</v>
      </c>
      <c r="N170" s="10">
        <v>7.060490426950744E-2</v>
      </c>
      <c r="O170" s="7">
        <v>0.12</v>
      </c>
      <c r="P170" s="7">
        <v>0.42</v>
      </c>
      <c r="R170" s="30">
        <f t="shared" si="21"/>
        <v>1967.7041999999999</v>
      </c>
      <c r="S170" s="7" t="str">
        <f t="shared" si="16"/>
        <v>80-85</v>
      </c>
      <c r="T170" s="7" t="str">
        <f t="shared" si="17"/>
        <v>&lt; 650</v>
      </c>
      <c r="U170" s="31">
        <f t="shared" si="18"/>
        <v>0.04</v>
      </c>
      <c r="V170" s="30">
        <f t="shared" si="19"/>
        <v>54684.623139862764</v>
      </c>
      <c r="W170" s="30">
        <f t="shared" si="20"/>
        <v>-18373.200024953112</v>
      </c>
      <c r="X170" s="30">
        <f t="shared" si="22"/>
        <v>0</v>
      </c>
      <c r="Y170" s="30">
        <f t="shared" si="23"/>
        <v>0</v>
      </c>
    </row>
    <row r="171" spans="1:25" x14ac:dyDescent="0.15">
      <c r="A171" s="7">
        <v>1167</v>
      </c>
      <c r="B171" s="19">
        <v>45299</v>
      </c>
      <c r="C171" s="7">
        <v>360</v>
      </c>
      <c r="D171" s="19">
        <v>45747</v>
      </c>
      <c r="E171" s="7">
        <v>14</v>
      </c>
      <c r="F171" s="29">
        <v>477699</v>
      </c>
      <c r="G171" s="29">
        <v>440530.38823437179</v>
      </c>
      <c r="H171" s="29">
        <v>555463.95348837215</v>
      </c>
      <c r="I171" s="7">
        <v>86</v>
      </c>
      <c r="J171" s="7" t="s">
        <v>69</v>
      </c>
      <c r="K171" s="7">
        <v>645</v>
      </c>
      <c r="L171" s="7">
        <v>27</v>
      </c>
      <c r="M171" s="7" t="s">
        <v>59</v>
      </c>
      <c r="N171" s="10">
        <v>5.3074688284361737E-2</v>
      </c>
      <c r="O171" s="7">
        <v>0.12</v>
      </c>
      <c r="P171" s="7">
        <v>0.37</v>
      </c>
      <c r="R171" s="30">
        <f t="shared" si="21"/>
        <v>1767.4863</v>
      </c>
      <c r="S171" s="7" t="str">
        <f t="shared" si="16"/>
        <v>85-90</v>
      </c>
      <c r="T171" s="7" t="str">
        <f t="shared" si="17"/>
        <v>&lt; 650</v>
      </c>
      <c r="U171" s="31">
        <f t="shared" si="18"/>
        <v>0.05</v>
      </c>
      <c r="V171" s="30">
        <f t="shared" si="19"/>
        <v>55506.828917530846</v>
      </c>
      <c r="W171" s="30">
        <f t="shared" si="20"/>
        <v>-9587.4528190259589</v>
      </c>
      <c r="X171" s="30">
        <f t="shared" si="22"/>
        <v>0</v>
      </c>
      <c r="Y171" s="30">
        <f t="shared" si="23"/>
        <v>0</v>
      </c>
    </row>
    <row r="172" spans="1:25" x14ac:dyDescent="0.15">
      <c r="A172" s="7">
        <v>1168</v>
      </c>
      <c r="B172" s="19">
        <v>45419</v>
      </c>
      <c r="C172" s="7">
        <v>360</v>
      </c>
      <c r="D172" s="19">
        <v>45747</v>
      </c>
      <c r="E172" s="7">
        <v>10</v>
      </c>
      <c r="F172" s="29">
        <v>236367</v>
      </c>
      <c r="G172" s="29">
        <v>221534.59157541938</v>
      </c>
      <c r="H172" s="29">
        <v>254158.06451612903</v>
      </c>
      <c r="I172" s="7">
        <v>93</v>
      </c>
      <c r="J172" s="7" t="s">
        <v>61</v>
      </c>
      <c r="K172" s="7">
        <v>713</v>
      </c>
      <c r="L172" s="7">
        <v>49</v>
      </c>
      <c r="M172" s="7" t="s">
        <v>59</v>
      </c>
      <c r="N172" s="10">
        <v>6.4306791536307764E-2</v>
      </c>
      <c r="O172" s="7">
        <v>0.25</v>
      </c>
      <c r="P172" s="7">
        <v>0.33</v>
      </c>
      <c r="R172" s="30">
        <f t="shared" si="21"/>
        <v>780.01110000000006</v>
      </c>
      <c r="S172" s="7" t="str">
        <f t="shared" si="16"/>
        <v>90-95</v>
      </c>
      <c r="T172" s="7" t="str">
        <f t="shared" si="17"/>
        <v>700-750</v>
      </c>
      <c r="U172" s="31">
        <f t="shared" si="18"/>
        <v>0.06</v>
      </c>
      <c r="V172" s="30">
        <f t="shared" si="19"/>
        <v>58152.830288547593</v>
      </c>
      <c r="W172" s="30">
        <f t="shared" si="20"/>
        <v>16576.966315480706</v>
      </c>
      <c r="X172" s="30">
        <f t="shared" si="22"/>
        <v>16576.966315480706</v>
      </c>
      <c r="Y172" s="30">
        <f t="shared" si="23"/>
        <v>994.61797892884226</v>
      </c>
    </row>
    <row r="173" spans="1:25" x14ac:dyDescent="0.15">
      <c r="A173" s="7">
        <v>1169</v>
      </c>
      <c r="B173" s="19">
        <v>45395</v>
      </c>
      <c r="C173" s="7">
        <v>360</v>
      </c>
      <c r="D173" s="19">
        <v>45747</v>
      </c>
      <c r="E173" s="7">
        <v>11</v>
      </c>
      <c r="F173" s="29">
        <v>158195</v>
      </c>
      <c r="G173" s="29">
        <v>147682.49508232475</v>
      </c>
      <c r="H173" s="29">
        <v>171951.08695652173</v>
      </c>
      <c r="I173" s="7">
        <v>92</v>
      </c>
      <c r="J173" s="7" t="s">
        <v>62</v>
      </c>
      <c r="K173" s="7">
        <v>633</v>
      </c>
      <c r="L173" s="7">
        <v>30</v>
      </c>
      <c r="M173" s="7" t="s">
        <v>59</v>
      </c>
      <c r="N173" s="10">
        <v>6.0709031311905637E-2</v>
      </c>
      <c r="O173" s="7">
        <v>0.25</v>
      </c>
      <c r="P173" s="7">
        <v>0.41</v>
      </c>
      <c r="R173" s="30">
        <f t="shared" si="21"/>
        <v>648.59949999999992</v>
      </c>
      <c r="S173" s="7" t="str">
        <f t="shared" si="16"/>
        <v>90-95</v>
      </c>
      <c r="T173" s="7" t="str">
        <f t="shared" si="17"/>
        <v>&lt; 650</v>
      </c>
      <c r="U173" s="31">
        <f t="shared" si="18"/>
        <v>0.08</v>
      </c>
      <c r="V173" s="30">
        <f t="shared" si="19"/>
        <v>38766.654959110245</v>
      </c>
      <c r="W173" s="30">
        <f t="shared" si="20"/>
        <v>8908.1959233975213</v>
      </c>
      <c r="X173" s="30">
        <f t="shared" si="22"/>
        <v>8908.1959233975213</v>
      </c>
      <c r="Y173" s="30">
        <f t="shared" si="23"/>
        <v>712.6556738718017</v>
      </c>
    </row>
    <row r="174" spans="1:25" x14ac:dyDescent="0.15">
      <c r="A174" s="7">
        <v>1170</v>
      </c>
      <c r="B174" s="19">
        <v>45304</v>
      </c>
      <c r="C174" s="7">
        <v>360</v>
      </c>
      <c r="D174" s="19">
        <v>45747</v>
      </c>
      <c r="E174" s="7">
        <v>14</v>
      </c>
      <c r="F174" s="29">
        <v>370240</v>
      </c>
      <c r="G174" s="29">
        <v>338301.81324337726</v>
      </c>
      <c r="H174" s="29">
        <v>402434.78260869562</v>
      </c>
      <c r="I174" s="7">
        <v>92</v>
      </c>
      <c r="J174" s="7" t="s">
        <v>68</v>
      </c>
      <c r="K174" s="7">
        <v>806</v>
      </c>
      <c r="L174" s="7">
        <v>37</v>
      </c>
      <c r="M174" s="7" t="s">
        <v>59</v>
      </c>
      <c r="N174" s="10">
        <v>6.2569246104600018E-2</v>
      </c>
      <c r="O174" s="7">
        <v>0.25</v>
      </c>
      <c r="P174" s="7">
        <v>0.21</v>
      </c>
      <c r="R174" s="30">
        <f t="shared" si="21"/>
        <v>777.50399999999991</v>
      </c>
      <c r="S174" s="7" t="str">
        <f t="shared" si="16"/>
        <v>90-95</v>
      </c>
      <c r="T174" s="7" t="str">
        <f t="shared" si="17"/>
        <v>&gt; 800</v>
      </c>
      <c r="U174" s="31">
        <f t="shared" si="18"/>
        <v>0.04</v>
      </c>
      <c r="V174" s="30">
        <f t="shared" si="19"/>
        <v>88804.22597638653</v>
      </c>
      <c r="W174" s="30">
        <f t="shared" si="20"/>
        <v>13147.338688154879</v>
      </c>
      <c r="X174" s="30">
        <f t="shared" si="22"/>
        <v>13147.338688154879</v>
      </c>
      <c r="Y174" s="30">
        <f t="shared" si="23"/>
        <v>525.89354752619522</v>
      </c>
    </row>
    <row r="175" spans="1:25" x14ac:dyDescent="0.15">
      <c r="A175" s="7">
        <v>1171</v>
      </c>
      <c r="B175" s="19">
        <v>45386</v>
      </c>
      <c r="C175" s="7">
        <v>360</v>
      </c>
      <c r="D175" s="19">
        <v>45747</v>
      </c>
      <c r="E175" s="7">
        <v>11</v>
      </c>
      <c r="F175" s="29">
        <v>531161</v>
      </c>
      <c r="G175" s="29">
        <v>493767.82243843004</v>
      </c>
      <c r="H175" s="29">
        <v>610529.88505747123</v>
      </c>
      <c r="I175" s="7">
        <v>87</v>
      </c>
      <c r="J175" s="7" t="s">
        <v>69</v>
      </c>
      <c r="K175" s="7">
        <v>771</v>
      </c>
      <c r="L175" s="7">
        <v>48</v>
      </c>
      <c r="M175" s="7" t="s">
        <v>59</v>
      </c>
      <c r="N175" s="10">
        <v>6.6201524606464238E-2</v>
      </c>
      <c r="O175" s="7">
        <v>0.12</v>
      </c>
      <c r="P175" s="7">
        <v>0.21</v>
      </c>
      <c r="R175" s="30">
        <f t="shared" si="21"/>
        <v>1115.4381000000001</v>
      </c>
      <c r="S175" s="7" t="str">
        <f t="shared" si="16"/>
        <v>85-90</v>
      </c>
      <c r="T175" s="7" t="str">
        <f t="shared" si="17"/>
        <v>750-800</v>
      </c>
      <c r="U175" s="31">
        <f t="shared" si="18"/>
        <v>0.02</v>
      </c>
      <c r="V175" s="30">
        <f t="shared" si="19"/>
        <v>62214.745627242184</v>
      </c>
      <c r="W175" s="30">
        <f t="shared" si="20"/>
        <v>-494.18873849895317</v>
      </c>
      <c r="X175" s="30">
        <f t="shared" si="22"/>
        <v>0</v>
      </c>
      <c r="Y175" s="30">
        <f t="shared" si="23"/>
        <v>0</v>
      </c>
    </row>
    <row r="176" spans="1:25" x14ac:dyDescent="0.15">
      <c r="A176" s="7">
        <v>1172</v>
      </c>
      <c r="B176" s="19">
        <v>45465</v>
      </c>
      <c r="C176" s="7">
        <v>360</v>
      </c>
      <c r="D176" s="19">
        <v>45747</v>
      </c>
      <c r="E176" s="7">
        <v>9</v>
      </c>
      <c r="F176" s="29">
        <v>589962</v>
      </c>
      <c r="G176" s="29">
        <v>561022.95266867895</v>
      </c>
      <c r="H176" s="29">
        <v>686002.32558139542</v>
      </c>
      <c r="I176" s="7">
        <v>86</v>
      </c>
      <c r="J176" s="7" t="s">
        <v>63</v>
      </c>
      <c r="K176" s="7">
        <v>680</v>
      </c>
      <c r="L176" s="7">
        <v>42</v>
      </c>
      <c r="M176" s="7" t="s">
        <v>59</v>
      </c>
      <c r="N176" s="10">
        <v>5.133767890554921E-2</v>
      </c>
      <c r="O176" s="7">
        <v>0.12</v>
      </c>
      <c r="P176" s="7">
        <v>0.42</v>
      </c>
      <c r="R176" s="30">
        <f t="shared" si="21"/>
        <v>2477.8403999999996</v>
      </c>
      <c r="S176" s="7" t="str">
        <f t="shared" si="16"/>
        <v>85-90</v>
      </c>
      <c r="T176" s="7" t="str">
        <f t="shared" si="17"/>
        <v>650-700</v>
      </c>
      <c r="U176" s="31">
        <f t="shared" si="18"/>
        <v>0.04</v>
      </c>
      <c r="V176" s="30">
        <f t="shared" si="19"/>
        <v>70688.892036253543</v>
      </c>
      <c r="W176" s="30">
        <f t="shared" si="20"/>
        <v>5972.1235579267377</v>
      </c>
      <c r="X176" s="30">
        <f t="shared" si="22"/>
        <v>5972.1235579267377</v>
      </c>
      <c r="Y176" s="30">
        <f t="shared" si="23"/>
        <v>238.88494231706952</v>
      </c>
    </row>
    <row r="177" spans="1:25" x14ac:dyDescent="0.15">
      <c r="A177" s="7">
        <v>1173</v>
      </c>
      <c r="B177" s="19">
        <v>45437</v>
      </c>
      <c r="C177" s="7">
        <v>360</v>
      </c>
      <c r="D177" s="19">
        <v>45747</v>
      </c>
      <c r="E177" s="7">
        <v>10</v>
      </c>
      <c r="F177" s="29">
        <v>670097</v>
      </c>
      <c r="G177" s="29">
        <v>631168.71399958141</v>
      </c>
      <c r="H177" s="29">
        <v>744552.22222222225</v>
      </c>
      <c r="I177" s="7">
        <v>90</v>
      </c>
      <c r="J177" s="7" t="s">
        <v>71</v>
      </c>
      <c r="K177" s="7">
        <v>773</v>
      </c>
      <c r="L177" s="7">
        <v>5</v>
      </c>
      <c r="M177" s="7" t="s">
        <v>59</v>
      </c>
      <c r="N177" s="10">
        <v>5.7084352752506867E-2</v>
      </c>
      <c r="O177" s="7">
        <v>0.25</v>
      </c>
      <c r="P177" s="7">
        <v>0.39</v>
      </c>
      <c r="R177" s="30">
        <f t="shared" si="21"/>
        <v>2613.3783000000003</v>
      </c>
      <c r="S177" s="7" t="str">
        <f t="shared" si="16"/>
        <v>85-90</v>
      </c>
      <c r="T177" s="7" t="str">
        <f t="shared" si="17"/>
        <v>750-800</v>
      </c>
      <c r="U177" s="31">
        <f t="shared" si="18"/>
        <v>0.02</v>
      </c>
      <c r="V177" s="30">
        <f t="shared" si="19"/>
        <v>165681.78742489012</v>
      </c>
      <c r="W177" s="30">
        <f t="shared" si="20"/>
        <v>29857.760810671607</v>
      </c>
      <c r="X177" s="30">
        <f t="shared" si="22"/>
        <v>29857.760810671607</v>
      </c>
      <c r="Y177" s="30">
        <f t="shared" si="23"/>
        <v>597.15521621343214</v>
      </c>
    </row>
    <row r="178" spans="1:25" x14ac:dyDescent="0.15">
      <c r="A178" s="7">
        <v>1174</v>
      </c>
      <c r="B178" s="19">
        <v>45332</v>
      </c>
      <c r="C178" s="7">
        <v>360</v>
      </c>
      <c r="D178" s="19">
        <v>45747</v>
      </c>
      <c r="E178" s="7">
        <v>13</v>
      </c>
      <c r="F178" s="29">
        <v>735108</v>
      </c>
      <c r="G178" s="29">
        <v>667621.78335168655</v>
      </c>
      <c r="H178" s="29">
        <v>864832.9411764706</v>
      </c>
      <c r="I178" s="7">
        <v>85</v>
      </c>
      <c r="J178" s="7" t="s">
        <v>73</v>
      </c>
      <c r="K178" s="7">
        <v>748</v>
      </c>
      <c r="L178" s="7">
        <v>26</v>
      </c>
      <c r="M178" s="7" t="s">
        <v>59</v>
      </c>
      <c r="N178" s="10">
        <v>7.6016537428313283E-2</v>
      </c>
      <c r="O178" s="7">
        <v>0.12</v>
      </c>
      <c r="P178" s="7">
        <v>0.24</v>
      </c>
      <c r="R178" s="30">
        <f t="shared" si="21"/>
        <v>1764.2591999999997</v>
      </c>
      <c r="S178" s="7" t="str">
        <f t="shared" si="16"/>
        <v>80-85</v>
      </c>
      <c r="T178" s="7" t="str">
        <f t="shared" si="17"/>
        <v>700-750</v>
      </c>
      <c r="U178" s="31">
        <f t="shared" si="18"/>
        <v>2.5000000000000001E-2</v>
      </c>
      <c r="V178" s="30">
        <f t="shared" si="19"/>
        <v>84120.344702312505</v>
      </c>
      <c r="W178" s="30">
        <f t="shared" si="20"/>
        <v>-34105.127480729134</v>
      </c>
      <c r="X178" s="30">
        <f t="shared" si="22"/>
        <v>0</v>
      </c>
      <c r="Y178" s="30">
        <f t="shared" si="23"/>
        <v>0</v>
      </c>
    </row>
    <row r="179" spans="1:25" x14ac:dyDescent="0.15">
      <c r="A179" s="7">
        <v>1175</v>
      </c>
      <c r="B179" s="19">
        <v>45295</v>
      </c>
      <c r="C179" s="7">
        <v>360</v>
      </c>
      <c r="D179" s="19">
        <v>45747</v>
      </c>
      <c r="E179" s="7">
        <v>14</v>
      </c>
      <c r="F179" s="29">
        <v>488412</v>
      </c>
      <c r="G179" s="29">
        <v>444901.29404917243</v>
      </c>
      <c r="H179" s="29">
        <v>508762.5</v>
      </c>
      <c r="I179" s="7">
        <v>96</v>
      </c>
      <c r="J179" s="7" t="s">
        <v>65</v>
      </c>
      <c r="K179" s="7">
        <v>635</v>
      </c>
      <c r="L179" s="7">
        <v>26</v>
      </c>
      <c r="M179" s="7" t="s">
        <v>59</v>
      </c>
      <c r="N179" s="10">
        <v>6.5647009725087691E-2</v>
      </c>
      <c r="O179" s="7">
        <v>0.3</v>
      </c>
      <c r="P179" s="7">
        <v>0.32</v>
      </c>
      <c r="R179" s="30">
        <f t="shared" si="21"/>
        <v>1562.9184</v>
      </c>
      <c r="S179" s="7" t="str">
        <f t="shared" si="16"/>
        <v>&gt; 95</v>
      </c>
      <c r="T179" s="7" t="str">
        <f t="shared" si="17"/>
        <v>&lt; 650</v>
      </c>
      <c r="U179" s="31">
        <f t="shared" si="18"/>
        <v>0.11</v>
      </c>
      <c r="V179" s="30">
        <f t="shared" si="19"/>
        <v>140143.90762548932</v>
      </c>
      <c r="W179" s="30">
        <f t="shared" si="20"/>
        <v>34698.233751631051</v>
      </c>
      <c r="X179" s="30">
        <f t="shared" si="22"/>
        <v>34698.233751631051</v>
      </c>
      <c r="Y179" s="30">
        <f t="shared" si="23"/>
        <v>3816.8057126794156</v>
      </c>
    </row>
    <row r="180" spans="1:25" x14ac:dyDescent="0.15">
      <c r="A180" s="7">
        <v>1176</v>
      </c>
      <c r="B180" s="19">
        <v>45302</v>
      </c>
      <c r="C180" s="7">
        <v>360</v>
      </c>
      <c r="D180" s="19">
        <v>45747</v>
      </c>
      <c r="E180" s="7">
        <v>14</v>
      </c>
      <c r="F180" s="29">
        <v>402940</v>
      </c>
      <c r="G180" s="29">
        <v>363165.64150769397</v>
      </c>
      <c r="H180" s="29">
        <v>433268.81720430107</v>
      </c>
      <c r="I180" s="7">
        <v>93</v>
      </c>
      <c r="J180" s="7" t="s">
        <v>62</v>
      </c>
      <c r="K180" s="7">
        <v>609</v>
      </c>
      <c r="L180" s="7">
        <v>24</v>
      </c>
      <c r="M180" s="7" t="s">
        <v>59</v>
      </c>
      <c r="N180" s="10">
        <v>7.5854369937412236E-2</v>
      </c>
      <c r="O180" s="7">
        <v>0.25</v>
      </c>
      <c r="P180" s="7">
        <v>0.35</v>
      </c>
      <c r="R180" s="30">
        <f t="shared" si="21"/>
        <v>1410.29</v>
      </c>
      <c r="S180" s="7" t="str">
        <f t="shared" si="16"/>
        <v>90-95</v>
      </c>
      <c r="T180" s="7" t="str">
        <f t="shared" si="17"/>
        <v>&lt; 650</v>
      </c>
      <c r="U180" s="31">
        <f t="shared" si="18"/>
        <v>0.08</v>
      </c>
      <c r="V180" s="30">
        <f t="shared" si="19"/>
        <v>95330.980895769666</v>
      </c>
      <c r="W180" s="30">
        <f t="shared" si="20"/>
        <v>13045.428959422745</v>
      </c>
      <c r="X180" s="30">
        <f t="shared" si="22"/>
        <v>13045.428959422745</v>
      </c>
      <c r="Y180" s="30">
        <f t="shared" si="23"/>
        <v>1043.6343167538196</v>
      </c>
    </row>
    <row r="181" spans="1:25" x14ac:dyDescent="0.15">
      <c r="A181" s="7">
        <v>1177</v>
      </c>
      <c r="B181" s="19">
        <v>45472</v>
      </c>
      <c r="C181" s="7">
        <v>360</v>
      </c>
      <c r="D181" s="19">
        <v>45747</v>
      </c>
      <c r="E181" s="7">
        <v>9</v>
      </c>
      <c r="F181" s="29">
        <v>586282</v>
      </c>
      <c r="G181" s="29">
        <v>557657.4301187112</v>
      </c>
      <c r="H181" s="29">
        <v>689743.5294117647</v>
      </c>
      <c r="I181" s="7">
        <v>85</v>
      </c>
      <c r="J181" s="7" t="s">
        <v>63</v>
      </c>
      <c r="K181" s="7">
        <v>719</v>
      </c>
      <c r="L181" s="7">
        <v>45</v>
      </c>
      <c r="M181" s="7" t="s">
        <v>59</v>
      </c>
      <c r="N181" s="10">
        <v>5.092478661781031E-2</v>
      </c>
      <c r="O181" s="7">
        <v>0.12</v>
      </c>
      <c r="P181" s="7">
        <v>0.21</v>
      </c>
      <c r="R181" s="30">
        <f t="shared" si="21"/>
        <v>1231.1922</v>
      </c>
      <c r="S181" s="7" t="str">
        <f t="shared" si="16"/>
        <v>80-85</v>
      </c>
      <c r="T181" s="7" t="str">
        <f t="shared" si="17"/>
        <v>700-750</v>
      </c>
      <c r="U181" s="31">
        <f t="shared" si="18"/>
        <v>2.5000000000000001E-2</v>
      </c>
      <c r="V181" s="30">
        <f t="shared" si="19"/>
        <v>70264.836194957606</v>
      </c>
      <c r="W181" s="30">
        <f t="shared" si="20"/>
        <v>-741.69837535324041</v>
      </c>
      <c r="X181" s="30">
        <f t="shared" si="22"/>
        <v>0</v>
      </c>
      <c r="Y181" s="30">
        <f t="shared" si="23"/>
        <v>0</v>
      </c>
    </row>
    <row r="182" spans="1:25" x14ac:dyDescent="0.15">
      <c r="A182" s="7">
        <v>1178</v>
      </c>
      <c r="B182" s="19">
        <v>45369</v>
      </c>
      <c r="C182" s="7">
        <v>360</v>
      </c>
      <c r="D182" s="19">
        <v>45747</v>
      </c>
      <c r="E182" s="7">
        <v>12</v>
      </c>
      <c r="F182" s="29">
        <v>637636</v>
      </c>
      <c r="G182" s="29">
        <v>582555.82264443277</v>
      </c>
      <c r="H182" s="29">
        <v>693082.6086956521</v>
      </c>
      <c r="I182" s="7">
        <v>92</v>
      </c>
      <c r="J182" s="7" t="s">
        <v>70</v>
      </c>
      <c r="K182" s="7">
        <v>687</v>
      </c>
      <c r="L182" s="7">
        <v>29</v>
      </c>
      <c r="M182" s="7" t="s">
        <v>59</v>
      </c>
      <c r="N182" s="10">
        <v>7.799685810125917E-2</v>
      </c>
      <c r="O182" s="7">
        <v>0.25</v>
      </c>
      <c r="P182" s="7">
        <v>0.45</v>
      </c>
      <c r="R182" s="30">
        <f t="shared" si="21"/>
        <v>2869.3620000000001</v>
      </c>
      <c r="S182" s="7" t="str">
        <f t="shared" si="16"/>
        <v>90-95</v>
      </c>
      <c r="T182" s="7" t="str">
        <f t="shared" si="17"/>
        <v>650-700</v>
      </c>
      <c r="U182" s="31">
        <f t="shared" si="18"/>
        <v>7.0000000000000007E-2</v>
      </c>
      <c r="V182" s="30">
        <f t="shared" si="19"/>
        <v>152920.90344416362</v>
      </c>
      <c r="W182" s="30">
        <f t="shared" si="20"/>
        <v>22563.396385350148</v>
      </c>
      <c r="X182" s="30">
        <f t="shared" si="22"/>
        <v>22563.396385350148</v>
      </c>
      <c r="Y182" s="30">
        <f t="shared" si="23"/>
        <v>1579.4377469745104</v>
      </c>
    </row>
    <row r="183" spans="1:25" x14ac:dyDescent="0.15">
      <c r="A183" s="7">
        <v>1179</v>
      </c>
      <c r="B183" s="19">
        <v>45423</v>
      </c>
      <c r="C183" s="7">
        <v>360</v>
      </c>
      <c r="D183" s="19">
        <v>45747</v>
      </c>
      <c r="E183" s="7">
        <v>10</v>
      </c>
      <c r="F183" s="29">
        <v>150528</v>
      </c>
      <c r="G183" s="29">
        <v>141798.35107942211</v>
      </c>
      <c r="H183" s="29">
        <v>169132.58426966291</v>
      </c>
      <c r="I183" s="7">
        <v>89</v>
      </c>
      <c r="J183" s="7" t="s">
        <v>70</v>
      </c>
      <c r="K183" s="7">
        <v>757</v>
      </c>
      <c r="L183" s="7">
        <v>11</v>
      </c>
      <c r="M183" s="7" t="s">
        <v>59</v>
      </c>
      <c r="N183" s="10">
        <v>5.6926576767202669E-2</v>
      </c>
      <c r="O183" s="7">
        <v>0.12</v>
      </c>
      <c r="P183" s="7">
        <v>0.36</v>
      </c>
      <c r="R183" s="30">
        <f t="shared" si="21"/>
        <v>541.90079999999989</v>
      </c>
      <c r="S183" s="7" t="str">
        <f t="shared" si="16"/>
        <v>85-90</v>
      </c>
      <c r="T183" s="7" t="str">
        <f t="shared" si="17"/>
        <v>750-800</v>
      </c>
      <c r="U183" s="31">
        <f t="shared" si="18"/>
        <v>0.02</v>
      </c>
      <c r="V183" s="30">
        <f t="shared" si="19"/>
        <v>17866.592236007185</v>
      </c>
      <c r="W183" s="30">
        <f t="shared" si="20"/>
        <v>5125.5720041797613</v>
      </c>
      <c r="X183" s="30">
        <f t="shared" si="22"/>
        <v>5125.5720041797613</v>
      </c>
      <c r="Y183" s="30">
        <f t="shared" si="23"/>
        <v>102.51144008359523</v>
      </c>
    </row>
    <row r="184" spans="1:25" x14ac:dyDescent="0.15">
      <c r="A184" s="7">
        <v>1180</v>
      </c>
      <c r="B184" s="19">
        <v>45337</v>
      </c>
      <c r="C184" s="7">
        <v>360</v>
      </c>
      <c r="D184" s="19">
        <v>45747</v>
      </c>
      <c r="E184" s="7">
        <v>13</v>
      </c>
      <c r="F184" s="29">
        <v>571107</v>
      </c>
      <c r="G184" s="29">
        <v>528764.14381563512</v>
      </c>
      <c r="H184" s="29">
        <v>607560.63829787239</v>
      </c>
      <c r="I184" s="7">
        <v>94</v>
      </c>
      <c r="J184" s="7" t="s">
        <v>66</v>
      </c>
      <c r="K184" s="7">
        <v>631</v>
      </c>
      <c r="L184" s="7">
        <v>50</v>
      </c>
      <c r="M184" s="7" t="s">
        <v>59</v>
      </c>
      <c r="N184" s="10">
        <v>5.5403139497404955E-2</v>
      </c>
      <c r="O184" s="7">
        <v>0.25</v>
      </c>
      <c r="P184" s="7">
        <v>0.44</v>
      </c>
      <c r="R184" s="30">
        <f t="shared" si="21"/>
        <v>2512.8707999999997</v>
      </c>
      <c r="S184" s="7" t="str">
        <f t="shared" si="16"/>
        <v>90-95</v>
      </c>
      <c r="T184" s="7" t="str">
        <f t="shared" si="17"/>
        <v>&lt; 650</v>
      </c>
      <c r="U184" s="31">
        <f t="shared" si="18"/>
        <v>0.08</v>
      </c>
      <c r="V184" s="30">
        <f t="shared" si="19"/>
        <v>138800.58775160424</v>
      </c>
      <c r="W184" s="30">
        <f t="shared" si="20"/>
        <v>38775.808453225414</v>
      </c>
      <c r="X184" s="30">
        <f t="shared" si="22"/>
        <v>38775.808453225414</v>
      </c>
      <c r="Y184" s="30">
        <f t="shared" si="23"/>
        <v>3102.0646762580332</v>
      </c>
    </row>
    <row r="185" spans="1:25" x14ac:dyDescent="0.15">
      <c r="A185" s="7">
        <v>1181</v>
      </c>
      <c r="B185" s="19">
        <v>45413</v>
      </c>
      <c r="C185" s="7">
        <v>360</v>
      </c>
      <c r="D185" s="19">
        <v>45747</v>
      </c>
      <c r="E185" s="7">
        <v>10</v>
      </c>
      <c r="F185" s="29">
        <v>573936</v>
      </c>
      <c r="G185" s="29">
        <v>539316.11257187289</v>
      </c>
      <c r="H185" s="29">
        <v>610570.21276595746</v>
      </c>
      <c r="I185" s="7">
        <v>94</v>
      </c>
      <c r="J185" s="7" t="s">
        <v>67</v>
      </c>
      <c r="K185" s="7">
        <v>740</v>
      </c>
      <c r="L185" s="7">
        <v>13</v>
      </c>
      <c r="M185" s="7" t="s">
        <v>59</v>
      </c>
      <c r="N185" s="10">
        <v>6.0567070563704056E-2</v>
      </c>
      <c r="O185" s="7">
        <v>0.25</v>
      </c>
      <c r="P185" s="7">
        <v>0.36</v>
      </c>
      <c r="R185" s="30">
        <f t="shared" si="21"/>
        <v>2066.1695999999997</v>
      </c>
      <c r="S185" s="7" t="str">
        <f t="shared" si="16"/>
        <v>90-95</v>
      </c>
      <c r="T185" s="7" t="str">
        <f t="shared" si="17"/>
        <v>700-750</v>
      </c>
      <c r="U185" s="31">
        <f t="shared" si="18"/>
        <v>0.06</v>
      </c>
      <c r="V185" s="30">
        <f t="shared" si="19"/>
        <v>141570.47955011664</v>
      </c>
      <c r="W185" s="30">
        <f t="shared" si="20"/>
        <v>47297.237349402742</v>
      </c>
      <c r="X185" s="30">
        <f t="shared" si="22"/>
        <v>47297.237349402742</v>
      </c>
      <c r="Y185" s="30">
        <f t="shared" si="23"/>
        <v>2837.8342409641646</v>
      </c>
    </row>
    <row r="186" spans="1:25" x14ac:dyDescent="0.15">
      <c r="A186" s="7">
        <v>1182</v>
      </c>
      <c r="B186" s="19">
        <v>45295</v>
      </c>
      <c r="C186" s="7">
        <v>360</v>
      </c>
      <c r="D186" s="19">
        <v>45747</v>
      </c>
      <c r="E186" s="7">
        <v>14</v>
      </c>
      <c r="F186" s="29">
        <v>323682</v>
      </c>
      <c r="G186" s="29">
        <v>291660.04799003282</v>
      </c>
      <c r="H186" s="29">
        <v>380802.3529411765</v>
      </c>
      <c r="I186" s="7">
        <v>85</v>
      </c>
      <c r="J186" s="7" t="s">
        <v>64</v>
      </c>
      <c r="K186" s="7">
        <v>743</v>
      </c>
      <c r="L186" s="7">
        <v>36</v>
      </c>
      <c r="M186" s="7" t="s">
        <v>59</v>
      </c>
      <c r="N186" s="10">
        <v>7.60829428903151E-2</v>
      </c>
      <c r="O186" s="7">
        <v>0.12</v>
      </c>
      <c r="P186" s="7">
        <v>0.28999999999999998</v>
      </c>
      <c r="R186" s="30">
        <f t="shared" si="21"/>
        <v>938.67779999999993</v>
      </c>
      <c r="S186" s="7" t="str">
        <f t="shared" si="16"/>
        <v>80-85</v>
      </c>
      <c r="T186" s="7" t="str">
        <f t="shared" si="17"/>
        <v>700-750</v>
      </c>
      <c r="U186" s="31">
        <f t="shared" si="18"/>
        <v>2.5000000000000001E-2</v>
      </c>
      <c r="V186" s="30">
        <f t="shared" si="19"/>
        <v>36749.16604674414</v>
      </c>
      <c r="W186" s="30">
        <f t="shared" si="20"/>
        <v>-17438.949610465497</v>
      </c>
      <c r="X186" s="30">
        <f t="shared" si="22"/>
        <v>0</v>
      </c>
      <c r="Y186" s="30">
        <f t="shared" si="23"/>
        <v>0</v>
      </c>
    </row>
    <row r="187" spans="1:25" x14ac:dyDescent="0.15">
      <c r="A187" s="7">
        <v>1183</v>
      </c>
      <c r="B187" s="19">
        <v>45326</v>
      </c>
      <c r="C187" s="7">
        <v>360</v>
      </c>
      <c r="D187" s="19">
        <v>45747</v>
      </c>
      <c r="E187" s="7">
        <v>13</v>
      </c>
      <c r="F187" s="29">
        <v>636888</v>
      </c>
      <c r="G187" s="29">
        <v>583334.86225837271</v>
      </c>
      <c r="H187" s="29">
        <v>776692.68292682932</v>
      </c>
      <c r="I187" s="7">
        <v>82</v>
      </c>
      <c r="J187" s="7" t="s">
        <v>64</v>
      </c>
      <c r="K187" s="7">
        <v>697</v>
      </c>
      <c r="L187" s="7">
        <v>22</v>
      </c>
      <c r="M187" s="7" t="s">
        <v>59</v>
      </c>
      <c r="N187" s="10">
        <v>6.7231247562707624E-2</v>
      </c>
      <c r="O187" s="7">
        <v>0.12</v>
      </c>
      <c r="P187" s="7">
        <v>0.2</v>
      </c>
      <c r="R187" s="30">
        <f t="shared" si="21"/>
        <v>1273.7760000000001</v>
      </c>
      <c r="S187" s="7" t="str">
        <f t="shared" si="16"/>
        <v>80-85</v>
      </c>
      <c r="T187" s="7" t="str">
        <f t="shared" si="17"/>
        <v>650-700</v>
      </c>
      <c r="U187" s="31">
        <f t="shared" si="18"/>
        <v>0.03</v>
      </c>
      <c r="V187" s="30">
        <f t="shared" si="19"/>
        <v>73500.192644554962</v>
      </c>
      <c r="W187" s="30">
        <f t="shared" si="20"/>
        <v>-47687.175116513507</v>
      </c>
      <c r="X187" s="30">
        <f t="shared" si="22"/>
        <v>0</v>
      </c>
      <c r="Y187" s="30">
        <f t="shared" si="23"/>
        <v>0</v>
      </c>
    </row>
    <row r="188" spans="1:25" x14ac:dyDescent="0.15">
      <c r="A188" s="7">
        <v>1184</v>
      </c>
      <c r="B188" s="19">
        <v>45430</v>
      </c>
      <c r="C188" s="7">
        <v>360</v>
      </c>
      <c r="D188" s="19">
        <v>45747</v>
      </c>
      <c r="E188" s="7">
        <v>10</v>
      </c>
      <c r="F188" s="29">
        <v>574728</v>
      </c>
      <c r="G188" s="29">
        <v>537493.63566193054</v>
      </c>
      <c r="H188" s="29">
        <v>611412.76595744689</v>
      </c>
      <c r="I188" s="7">
        <v>94</v>
      </c>
      <c r="J188" s="7" t="s">
        <v>65</v>
      </c>
      <c r="K188" s="7">
        <v>638</v>
      </c>
      <c r="L188" s="7">
        <v>40</v>
      </c>
      <c r="M188" s="7" t="s">
        <v>59</v>
      </c>
      <c r="N188" s="10">
        <v>6.7389030396828448E-2</v>
      </c>
      <c r="O188" s="7">
        <v>0.25</v>
      </c>
      <c r="P188" s="7">
        <v>0.24</v>
      </c>
      <c r="R188" s="30">
        <f t="shared" si="21"/>
        <v>1379.3471999999999</v>
      </c>
      <c r="S188" s="7" t="str">
        <f t="shared" si="16"/>
        <v>90-95</v>
      </c>
      <c r="T188" s="7" t="str">
        <f t="shared" si="17"/>
        <v>&lt; 650</v>
      </c>
      <c r="U188" s="31">
        <f t="shared" si="18"/>
        <v>0.08</v>
      </c>
      <c r="V188" s="30">
        <f t="shared" si="19"/>
        <v>141092.07936125676</v>
      </c>
      <c r="W188" s="30">
        <f t="shared" si="20"/>
        <v>44667.466381197213</v>
      </c>
      <c r="X188" s="30">
        <f t="shared" si="22"/>
        <v>44667.466381197213</v>
      </c>
      <c r="Y188" s="30">
        <f t="shared" si="23"/>
        <v>3573.3973104957772</v>
      </c>
    </row>
    <row r="189" spans="1:25" x14ac:dyDescent="0.15">
      <c r="A189" s="7">
        <v>1185</v>
      </c>
      <c r="B189" s="19">
        <v>45422</v>
      </c>
      <c r="C189" s="7">
        <v>360</v>
      </c>
      <c r="D189" s="19">
        <v>45747</v>
      </c>
      <c r="E189" s="7">
        <v>10</v>
      </c>
      <c r="F189" s="29">
        <v>727108</v>
      </c>
      <c r="G189" s="29">
        <v>686851.28643340862</v>
      </c>
      <c r="H189" s="29">
        <v>799019.78021978016</v>
      </c>
      <c r="I189" s="7">
        <v>91</v>
      </c>
      <c r="J189" s="7" t="s">
        <v>60</v>
      </c>
      <c r="K189" s="7">
        <v>850</v>
      </c>
      <c r="L189" s="7">
        <v>7</v>
      </c>
      <c r="M189" s="7" t="s">
        <v>59</v>
      </c>
      <c r="N189" s="10">
        <v>5.2734205971111267E-2</v>
      </c>
      <c r="O189" s="7">
        <v>0.25</v>
      </c>
      <c r="P189" s="7">
        <v>0.25</v>
      </c>
      <c r="R189" s="30">
        <f t="shared" si="21"/>
        <v>1817.77</v>
      </c>
      <c r="S189" s="7" t="str">
        <f t="shared" si="16"/>
        <v>90-95</v>
      </c>
      <c r="T189" s="7" t="str">
        <f t="shared" si="17"/>
        <v>&gt; 800</v>
      </c>
      <c r="U189" s="31">
        <f t="shared" si="18"/>
        <v>0.04</v>
      </c>
      <c r="V189" s="30">
        <f t="shared" si="19"/>
        <v>180298.46268876977</v>
      </c>
      <c r="W189" s="30">
        <f t="shared" si="20"/>
        <v>42027.037568265921</v>
      </c>
      <c r="X189" s="30">
        <f t="shared" si="22"/>
        <v>42027.037568265921</v>
      </c>
      <c r="Y189" s="30">
        <f t="shared" si="23"/>
        <v>1681.0815027306369</v>
      </c>
    </row>
    <row r="190" spans="1:25" x14ac:dyDescent="0.15">
      <c r="A190" s="7">
        <v>1186</v>
      </c>
      <c r="B190" s="19">
        <v>45426</v>
      </c>
      <c r="C190" s="7">
        <v>360</v>
      </c>
      <c r="D190" s="19">
        <v>45747</v>
      </c>
      <c r="E190" s="7">
        <v>10</v>
      </c>
      <c r="F190" s="29">
        <v>380165</v>
      </c>
      <c r="G190" s="29">
        <v>359178.27064739127</v>
      </c>
      <c r="H190" s="29">
        <v>469339.50617283949</v>
      </c>
      <c r="I190" s="7">
        <v>81</v>
      </c>
      <c r="J190" s="7" t="s">
        <v>65</v>
      </c>
      <c r="K190" s="7">
        <v>797</v>
      </c>
      <c r="L190" s="7">
        <v>6</v>
      </c>
      <c r="M190" s="7" t="s">
        <v>59</v>
      </c>
      <c r="N190" s="10">
        <v>5.2473995785414604E-2</v>
      </c>
      <c r="O190" s="7">
        <v>0.12</v>
      </c>
      <c r="P190" s="7">
        <v>0.22</v>
      </c>
      <c r="R190" s="30">
        <f t="shared" si="21"/>
        <v>836.36300000000006</v>
      </c>
      <c r="S190" s="7" t="str">
        <f t="shared" si="16"/>
        <v>80-85</v>
      </c>
      <c r="T190" s="7" t="str">
        <f t="shared" si="17"/>
        <v>750-800</v>
      </c>
      <c r="U190" s="31">
        <f t="shared" si="18"/>
        <v>0.02</v>
      </c>
      <c r="V190" s="30">
        <f t="shared" si="19"/>
        <v>45256.462101571306</v>
      </c>
      <c r="W190" s="30">
        <f t="shared" si="20"/>
        <v>-21801.396067152673</v>
      </c>
      <c r="X190" s="30">
        <f t="shared" si="22"/>
        <v>0</v>
      </c>
      <c r="Y190" s="30">
        <f t="shared" si="23"/>
        <v>0</v>
      </c>
    </row>
    <row r="191" spans="1:25" x14ac:dyDescent="0.15">
      <c r="A191" s="7">
        <v>1187</v>
      </c>
      <c r="B191" s="19">
        <v>45313</v>
      </c>
      <c r="C191" s="7">
        <v>360</v>
      </c>
      <c r="D191" s="19">
        <v>45747</v>
      </c>
      <c r="E191" s="7">
        <v>14</v>
      </c>
      <c r="F191" s="29">
        <v>587283</v>
      </c>
      <c r="G191" s="29">
        <v>537244.45451098215</v>
      </c>
      <c r="H191" s="29">
        <v>707569.87951807235</v>
      </c>
      <c r="I191" s="7">
        <v>83</v>
      </c>
      <c r="J191" s="7" t="s">
        <v>68</v>
      </c>
      <c r="K191" s="7">
        <v>638</v>
      </c>
      <c r="L191" s="7">
        <v>24</v>
      </c>
      <c r="M191" s="7" t="s">
        <v>59</v>
      </c>
      <c r="N191" s="10">
        <v>6.1402360886719257E-2</v>
      </c>
      <c r="O191" s="7">
        <v>0.12</v>
      </c>
      <c r="P191" s="7">
        <v>0.41</v>
      </c>
      <c r="R191" s="30">
        <f t="shared" si="21"/>
        <v>2407.8602999999998</v>
      </c>
      <c r="S191" s="7" t="str">
        <f t="shared" si="16"/>
        <v>80-85</v>
      </c>
      <c r="T191" s="7" t="str">
        <f t="shared" si="17"/>
        <v>&lt; 650</v>
      </c>
      <c r="U191" s="31">
        <f t="shared" si="18"/>
        <v>0.04</v>
      </c>
      <c r="V191" s="30">
        <f t="shared" si="19"/>
        <v>67692.801268383744</v>
      </c>
      <c r="W191" s="30">
        <f t="shared" si="20"/>
        <v>-37327.720353830256</v>
      </c>
      <c r="X191" s="30">
        <f t="shared" si="22"/>
        <v>0</v>
      </c>
      <c r="Y191" s="30">
        <f t="shared" si="23"/>
        <v>0</v>
      </c>
    </row>
    <row r="192" spans="1:25" x14ac:dyDescent="0.15">
      <c r="A192" s="7">
        <v>1188</v>
      </c>
      <c r="B192" s="19">
        <v>45364</v>
      </c>
      <c r="C192" s="7">
        <v>360</v>
      </c>
      <c r="D192" s="19">
        <v>45747</v>
      </c>
      <c r="E192" s="7">
        <v>12</v>
      </c>
      <c r="F192" s="29">
        <v>430504</v>
      </c>
      <c r="G192" s="29">
        <v>393157.35385264864</v>
      </c>
      <c r="H192" s="29">
        <v>478337.77777777775</v>
      </c>
      <c r="I192" s="7">
        <v>90</v>
      </c>
      <c r="J192" s="7" t="s">
        <v>61</v>
      </c>
      <c r="K192" s="7">
        <v>751</v>
      </c>
      <c r="L192" s="7">
        <v>34</v>
      </c>
      <c r="M192" s="7" t="s">
        <v>59</v>
      </c>
      <c r="N192" s="10">
        <v>7.8440869344866646E-2</v>
      </c>
      <c r="O192" s="7">
        <v>0.25</v>
      </c>
      <c r="P192" s="7">
        <v>0.41</v>
      </c>
      <c r="R192" s="30">
        <f t="shared" si="21"/>
        <v>1765.0663999999999</v>
      </c>
      <c r="S192" s="7" t="str">
        <f t="shared" si="16"/>
        <v>85-90</v>
      </c>
      <c r="T192" s="7" t="str">
        <f t="shared" si="17"/>
        <v>750-800</v>
      </c>
      <c r="U192" s="31">
        <f t="shared" si="18"/>
        <v>0.02</v>
      </c>
      <c r="V192" s="30">
        <f t="shared" si="19"/>
        <v>103203.80538632027</v>
      </c>
      <c r="W192" s="30">
        <f t="shared" si="20"/>
        <v>6228.1104341699975</v>
      </c>
      <c r="X192" s="30">
        <f t="shared" si="22"/>
        <v>6228.1104341699975</v>
      </c>
      <c r="Y192" s="30">
        <f t="shared" si="23"/>
        <v>124.56220868339996</v>
      </c>
    </row>
    <row r="193" spans="1:25" x14ac:dyDescent="0.15">
      <c r="A193" s="7">
        <v>1189</v>
      </c>
      <c r="B193" s="19">
        <v>45429</v>
      </c>
      <c r="C193" s="7">
        <v>360</v>
      </c>
      <c r="D193" s="19">
        <v>45747</v>
      </c>
      <c r="E193" s="7">
        <v>10</v>
      </c>
      <c r="F193" s="29">
        <v>574618</v>
      </c>
      <c r="G193" s="29">
        <v>540838.67940336582</v>
      </c>
      <c r="H193" s="29">
        <v>631448.35164835164</v>
      </c>
      <c r="I193" s="7">
        <v>91</v>
      </c>
      <c r="J193" s="7" t="s">
        <v>72</v>
      </c>
      <c r="K193" s="7">
        <v>803</v>
      </c>
      <c r="L193" s="7">
        <v>9</v>
      </c>
      <c r="M193" s="7" t="s">
        <v>59</v>
      </c>
      <c r="N193" s="10">
        <v>5.8173283588298749E-2</v>
      </c>
      <c r="O193" s="7">
        <v>0.25</v>
      </c>
      <c r="P193" s="7">
        <v>0.27</v>
      </c>
      <c r="R193" s="30">
        <f t="shared" si="21"/>
        <v>1551.4686000000002</v>
      </c>
      <c r="S193" s="7" t="str">
        <f t="shared" si="16"/>
        <v>90-95</v>
      </c>
      <c r="T193" s="7" t="str">
        <f t="shared" si="17"/>
        <v>&gt; 800</v>
      </c>
      <c r="U193" s="31">
        <f t="shared" si="18"/>
        <v>0.04</v>
      </c>
      <c r="V193" s="30">
        <f t="shared" si="19"/>
        <v>141970.15334338354</v>
      </c>
      <c r="W193" s="30">
        <f t="shared" si="20"/>
        <v>31149.514472435345</v>
      </c>
      <c r="X193" s="30">
        <f t="shared" si="22"/>
        <v>31149.514472435345</v>
      </c>
      <c r="Y193" s="30">
        <f t="shared" si="23"/>
        <v>1245.9805788974138</v>
      </c>
    </row>
    <row r="194" spans="1:25" x14ac:dyDescent="0.15">
      <c r="A194" s="7">
        <v>1190</v>
      </c>
      <c r="B194" s="19">
        <v>45292</v>
      </c>
      <c r="C194" s="7">
        <v>360</v>
      </c>
      <c r="D194" s="19">
        <v>45747</v>
      </c>
      <c r="E194" s="7">
        <v>14</v>
      </c>
      <c r="F194" s="29">
        <v>207790</v>
      </c>
      <c r="G194" s="29">
        <v>191432.58703839927</v>
      </c>
      <c r="H194" s="29">
        <v>253402.43902439025</v>
      </c>
      <c r="I194" s="7">
        <v>82</v>
      </c>
      <c r="J194" s="7" t="s">
        <v>73</v>
      </c>
      <c r="K194" s="7">
        <v>748</v>
      </c>
      <c r="L194" s="7">
        <v>50</v>
      </c>
      <c r="M194" s="7" t="s">
        <v>59</v>
      </c>
      <c r="N194" s="10">
        <v>5.4121914041868238E-2</v>
      </c>
      <c r="O194" s="7">
        <v>0.12</v>
      </c>
      <c r="P194" s="7">
        <v>0.34</v>
      </c>
      <c r="R194" s="30">
        <f t="shared" si="21"/>
        <v>706.4860000000001</v>
      </c>
      <c r="S194" s="7" t="str">
        <f t="shared" si="16"/>
        <v>80-85</v>
      </c>
      <c r="T194" s="7" t="str">
        <f t="shared" si="17"/>
        <v>700-750</v>
      </c>
      <c r="U194" s="31">
        <f t="shared" si="18"/>
        <v>2.5000000000000001E-2</v>
      </c>
      <c r="V194" s="30">
        <f t="shared" si="19"/>
        <v>24120.505966838311</v>
      </c>
      <c r="W194" s="30">
        <f t="shared" si="20"/>
        <v>-14387.856780412461</v>
      </c>
      <c r="X194" s="30">
        <f t="shared" si="22"/>
        <v>0</v>
      </c>
      <c r="Y194" s="30">
        <f t="shared" si="23"/>
        <v>0</v>
      </c>
    </row>
    <row r="195" spans="1:25" x14ac:dyDescent="0.15">
      <c r="A195" s="7">
        <v>1191</v>
      </c>
      <c r="B195" s="19">
        <v>45309</v>
      </c>
      <c r="C195" s="7">
        <v>360</v>
      </c>
      <c r="D195" s="19">
        <v>45747</v>
      </c>
      <c r="E195" s="7">
        <v>14</v>
      </c>
      <c r="F195" s="29">
        <v>311777</v>
      </c>
      <c r="G195" s="29">
        <v>287316.74744515377</v>
      </c>
      <c r="H195" s="29">
        <v>366796.4705882353</v>
      </c>
      <c r="I195" s="7">
        <v>85</v>
      </c>
      <c r="J195" s="7" t="s">
        <v>65</v>
      </c>
      <c r="K195" s="7">
        <v>643</v>
      </c>
      <c r="L195" s="7">
        <v>0</v>
      </c>
      <c r="M195" s="7" t="s">
        <v>59</v>
      </c>
      <c r="N195" s="10">
        <v>5.3816839413197377E-2</v>
      </c>
      <c r="O195" s="7">
        <v>0.12</v>
      </c>
      <c r="P195" s="7">
        <v>0.31</v>
      </c>
      <c r="R195" s="30">
        <f t="shared" si="21"/>
        <v>966.50869999999998</v>
      </c>
      <c r="S195" s="7" t="str">
        <f t="shared" si="16"/>
        <v>80-85</v>
      </c>
      <c r="T195" s="7" t="str">
        <f t="shared" si="17"/>
        <v>&lt; 650</v>
      </c>
      <c r="U195" s="31">
        <f t="shared" si="18"/>
        <v>0.04</v>
      </c>
      <c r="V195" s="30">
        <f t="shared" si="19"/>
        <v>36201.910178089376</v>
      </c>
      <c r="W195" s="30">
        <f t="shared" si="20"/>
        <v>-10094.415182588506</v>
      </c>
      <c r="X195" s="30">
        <f t="shared" si="22"/>
        <v>0</v>
      </c>
      <c r="Y195" s="30">
        <f t="shared" si="23"/>
        <v>0</v>
      </c>
    </row>
    <row r="196" spans="1:25" x14ac:dyDescent="0.15">
      <c r="A196" s="7">
        <v>1192</v>
      </c>
      <c r="B196" s="19">
        <v>45421</v>
      </c>
      <c r="C196" s="7">
        <v>360</v>
      </c>
      <c r="D196" s="19">
        <v>45747</v>
      </c>
      <c r="E196" s="7">
        <v>10</v>
      </c>
      <c r="F196" s="29">
        <v>676232</v>
      </c>
      <c r="G196" s="29">
        <v>630539.43119104661</v>
      </c>
      <c r="H196" s="29">
        <v>697146.39175257739</v>
      </c>
      <c r="I196" s="7">
        <v>97</v>
      </c>
      <c r="J196" s="7" t="s">
        <v>69</v>
      </c>
      <c r="K196" s="7">
        <v>724</v>
      </c>
      <c r="L196" s="7">
        <v>50</v>
      </c>
      <c r="M196" s="7" t="s">
        <v>59</v>
      </c>
      <c r="N196" s="10">
        <v>7.1542464167423325E-2</v>
      </c>
      <c r="O196" s="7">
        <v>0.35</v>
      </c>
      <c r="P196" s="7">
        <v>0.43</v>
      </c>
      <c r="R196" s="30">
        <f t="shared" si="21"/>
        <v>2907.7975999999999</v>
      </c>
      <c r="S196" s="7" t="str">
        <f t="shared" si="16"/>
        <v>&gt; 95</v>
      </c>
      <c r="T196" s="7" t="str">
        <f t="shared" si="17"/>
        <v>700-750</v>
      </c>
      <c r="U196" s="31">
        <f t="shared" si="18"/>
        <v>7.0000000000000007E-2</v>
      </c>
      <c r="V196" s="30">
        <f t="shared" si="19"/>
        <v>231723.24096270962</v>
      </c>
      <c r="W196" s="30">
        <f t="shared" si="20"/>
        <v>69491.969760908163</v>
      </c>
      <c r="X196" s="30">
        <f t="shared" si="22"/>
        <v>69491.969760908163</v>
      </c>
      <c r="Y196" s="30">
        <f t="shared" si="23"/>
        <v>4864.4378832635721</v>
      </c>
    </row>
    <row r="197" spans="1:25" x14ac:dyDescent="0.15">
      <c r="A197" s="7">
        <v>1193</v>
      </c>
      <c r="B197" s="19">
        <v>45377</v>
      </c>
      <c r="C197" s="7">
        <v>360</v>
      </c>
      <c r="D197" s="19">
        <v>45747</v>
      </c>
      <c r="E197" s="7">
        <v>12</v>
      </c>
      <c r="F197" s="29">
        <v>581321</v>
      </c>
      <c r="G197" s="29">
        <v>542795.50424138492</v>
      </c>
      <c r="H197" s="29">
        <v>675954.65116279072</v>
      </c>
      <c r="I197" s="7">
        <v>86</v>
      </c>
      <c r="J197" s="7" t="s">
        <v>69</v>
      </c>
      <c r="K197" s="7">
        <v>765</v>
      </c>
      <c r="L197" s="7">
        <v>42</v>
      </c>
      <c r="M197" s="7" t="s">
        <v>59</v>
      </c>
      <c r="N197" s="10">
        <v>5.2510606243711469E-2</v>
      </c>
      <c r="O197" s="7">
        <v>0.12</v>
      </c>
      <c r="P197" s="7">
        <v>0.4</v>
      </c>
      <c r="R197" s="30">
        <f t="shared" si="21"/>
        <v>2325.2840000000001</v>
      </c>
      <c r="S197" s="7" t="str">
        <f t="shared" ref="S197:S260" si="24">_xlfn.IFS(I197&lt;80,"&lt; 80",AND(I197&gt;=80,I197&lt;=85),"80-85",AND(I197&gt;85,I197&lt;=90),"85-90",AND(I197&gt;90,I197&lt;=95),"90-95",I197&gt;95,"&gt; 95")</f>
        <v>85-90</v>
      </c>
      <c r="T197" s="7" t="str">
        <f t="shared" ref="T197:T260" si="25">_xlfn.IFS(K197&lt;650,"&lt; 650",AND(K197&gt;=650,K197&lt;=700),"650-700",AND(K197&gt;700,K197&lt;=750),"700-750",AND(K197&gt;750,K197&lt;=800),"750-800",K197&gt;800,"&gt; 800")</f>
        <v>750-800</v>
      </c>
      <c r="U197" s="31">
        <f t="shared" ref="U197:U260" si="26">INDEX(LTV_FICO_DefaultRates,MATCH(S197,LTV_DefaultTable,0),MATCH(T197,FICO_DefaultTabe,0))</f>
        <v>0.02</v>
      </c>
      <c r="V197" s="30">
        <f t="shared" ref="V197:V260" si="27">((G197*(1+Expense_Loading))*O197)</f>
        <v>68392.233534414496</v>
      </c>
      <c r="W197" s="30">
        <f t="shared" ref="W197:W260" si="28">(G197*(1+Expense_Loading))-(H197*(1+HPI_Movement))</f>
        <v>-4626.1740349179599</v>
      </c>
      <c r="X197" s="30">
        <f t="shared" si="22"/>
        <v>0</v>
      </c>
      <c r="Y197" s="30">
        <f t="shared" si="23"/>
        <v>0</v>
      </c>
    </row>
    <row r="198" spans="1:25" x14ac:dyDescent="0.15">
      <c r="A198" s="7">
        <v>1194</v>
      </c>
      <c r="B198" s="19">
        <v>45332</v>
      </c>
      <c r="C198" s="7">
        <v>360</v>
      </c>
      <c r="D198" s="19">
        <v>45747</v>
      </c>
      <c r="E198" s="7">
        <v>13</v>
      </c>
      <c r="F198" s="29">
        <v>712151</v>
      </c>
      <c r="G198" s="29">
        <v>650346.47077533952</v>
      </c>
      <c r="H198" s="29">
        <v>890188.75</v>
      </c>
      <c r="I198" s="7">
        <v>80</v>
      </c>
      <c r="J198" s="7" t="s">
        <v>67</v>
      </c>
      <c r="K198" s="7">
        <v>705</v>
      </c>
      <c r="L198" s="7">
        <v>38</v>
      </c>
      <c r="M198" s="7" t="s">
        <v>59</v>
      </c>
      <c r="N198" s="10">
        <v>7.0339239626486236E-2</v>
      </c>
      <c r="O198" s="7">
        <v>0.12</v>
      </c>
      <c r="P198" s="7">
        <v>0.32</v>
      </c>
      <c r="R198" s="30">
        <f t="shared" ref="R198:R261" si="29">P198*F198/100</f>
        <v>2278.8832000000002</v>
      </c>
      <c r="S198" s="7" t="str">
        <f t="shared" si="24"/>
        <v>80-85</v>
      </c>
      <c r="T198" s="7" t="str">
        <f t="shared" si="25"/>
        <v>700-750</v>
      </c>
      <c r="U198" s="31">
        <f t="shared" si="26"/>
        <v>2.5000000000000001E-2</v>
      </c>
      <c r="V198" s="30">
        <f t="shared" si="27"/>
        <v>81943.655317692785</v>
      </c>
      <c r="W198" s="30">
        <f t="shared" si="28"/>
        <v>-73796.643185893423</v>
      </c>
      <c r="X198" s="30">
        <f t="shared" ref="X198:X261" si="30">MAX(MIN(V198,W198),0)</f>
        <v>0</v>
      </c>
      <c r="Y198" s="30">
        <f t="shared" ref="Y198:Y261" si="31">X198*U198</f>
        <v>0</v>
      </c>
    </row>
    <row r="199" spans="1:25" x14ac:dyDescent="0.15">
      <c r="A199" s="7">
        <v>1195</v>
      </c>
      <c r="B199" s="19">
        <v>45439</v>
      </c>
      <c r="C199" s="7">
        <v>360</v>
      </c>
      <c r="D199" s="19">
        <v>45747</v>
      </c>
      <c r="E199" s="7">
        <v>10</v>
      </c>
      <c r="F199" s="29">
        <v>569699</v>
      </c>
      <c r="G199" s="29">
        <v>536567.29695620819</v>
      </c>
      <c r="H199" s="29">
        <v>662440.69767441857</v>
      </c>
      <c r="I199" s="7">
        <v>86</v>
      </c>
      <c r="J199" s="7" t="s">
        <v>66</v>
      </c>
      <c r="K199" s="7">
        <v>645</v>
      </c>
      <c r="L199" s="7">
        <v>6</v>
      </c>
      <c r="M199" s="7" t="s">
        <v>59</v>
      </c>
      <c r="N199" s="10">
        <v>5.718369695949873E-2</v>
      </c>
      <c r="O199" s="7">
        <v>0.12</v>
      </c>
      <c r="P199" s="7">
        <v>0.36</v>
      </c>
      <c r="R199" s="30">
        <f t="shared" si="29"/>
        <v>2050.9164000000001</v>
      </c>
      <c r="S199" s="7" t="str">
        <f t="shared" si="24"/>
        <v>85-90</v>
      </c>
      <c r="T199" s="7" t="str">
        <f t="shared" si="25"/>
        <v>&lt; 650</v>
      </c>
      <c r="U199" s="31">
        <f t="shared" si="26"/>
        <v>0.05</v>
      </c>
      <c r="V199" s="30">
        <f t="shared" si="27"/>
        <v>67607.479416482238</v>
      </c>
      <c r="W199" s="30">
        <f t="shared" si="28"/>
        <v>321.06878076284193</v>
      </c>
      <c r="X199" s="30">
        <f t="shared" si="30"/>
        <v>321.06878076284193</v>
      </c>
      <c r="Y199" s="30">
        <f t="shared" si="31"/>
        <v>16.053439038142098</v>
      </c>
    </row>
    <row r="200" spans="1:25" x14ac:dyDescent="0.15">
      <c r="A200" s="7">
        <v>1196</v>
      </c>
      <c r="B200" s="19">
        <v>45445</v>
      </c>
      <c r="C200" s="7">
        <v>360</v>
      </c>
      <c r="D200" s="19">
        <v>45747</v>
      </c>
      <c r="E200" s="7">
        <v>9</v>
      </c>
      <c r="F200" s="29">
        <v>140511</v>
      </c>
      <c r="G200" s="29">
        <v>133698.36363518349</v>
      </c>
      <c r="H200" s="29">
        <v>175638.75</v>
      </c>
      <c r="I200" s="7">
        <v>80</v>
      </c>
      <c r="J200" s="7" t="s">
        <v>72</v>
      </c>
      <c r="K200" s="7">
        <v>830</v>
      </c>
      <c r="L200" s="7">
        <v>12</v>
      </c>
      <c r="M200" s="7" t="s">
        <v>59</v>
      </c>
      <c r="N200" s="10">
        <v>5.0310211336051749E-2</v>
      </c>
      <c r="O200" s="7">
        <v>0.12</v>
      </c>
      <c r="P200" s="7">
        <v>0.2</v>
      </c>
      <c r="R200" s="30">
        <f t="shared" si="29"/>
        <v>281.02199999999999</v>
      </c>
      <c r="S200" s="7" t="str">
        <f t="shared" si="24"/>
        <v>80-85</v>
      </c>
      <c r="T200" s="7" t="str">
        <f t="shared" si="25"/>
        <v>&gt; 800</v>
      </c>
      <c r="U200" s="31">
        <f t="shared" si="26"/>
        <v>0.01</v>
      </c>
      <c r="V200" s="30">
        <f t="shared" si="27"/>
        <v>16845.993818033119</v>
      </c>
      <c r="W200" s="30">
        <f t="shared" si="28"/>
        <v>-8909.6556830573245</v>
      </c>
      <c r="X200" s="30">
        <f t="shared" si="30"/>
        <v>0</v>
      </c>
      <c r="Y200" s="30">
        <f t="shared" si="31"/>
        <v>0</v>
      </c>
    </row>
    <row r="201" spans="1:25" x14ac:dyDescent="0.15">
      <c r="A201" s="7">
        <v>1197</v>
      </c>
      <c r="B201" s="19">
        <v>45462</v>
      </c>
      <c r="C201" s="7">
        <v>360</v>
      </c>
      <c r="D201" s="19">
        <v>45747</v>
      </c>
      <c r="E201" s="7">
        <v>9</v>
      </c>
      <c r="F201" s="29">
        <v>159823</v>
      </c>
      <c r="G201" s="29">
        <v>150607.83196556181</v>
      </c>
      <c r="H201" s="29">
        <v>192557.8313253012</v>
      </c>
      <c r="I201" s="7">
        <v>83</v>
      </c>
      <c r="J201" s="7" t="s">
        <v>71</v>
      </c>
      <c r="K201" s="7">
        <v>763</v>
      </c>
      <c r="L201" s="7">
        <v>5</v>
      </c>
      <c r="M201" s="7" t="s">
        <v>59</v>
      </c>
      <c r="N201" s="10">
        <v>6.6301412665629306E-2</v>
      </c>
      <c r="O201" s="7">
        <v>0.12</v>
      </c>
      <c r="P201" s="7">
        <v>0.27</v>
      </c>
      <c r="R201" s="30">
        <f t="shared" si="29"/>
        <v>431.52210000000008</v>
      </c>
      <c r="S201" s="7" t="str">
        <f t="shared" si="24"/>
        <v>80-85</v>
      </c>
      <c r="T201" s="7" t="str">
        <f t="shared" si="25"/>
        <v>750-800</v>
      </c>
      <c r="U201" s="31">
        <f t="shared" si="26"/>
        <v>0.02</v>
      </c>
      <c r="V201" s="30">
        <f t="shared" si="27"/>
        <v>18976.586827660791</v>
      </c>
      <c r="W201" s="30">
        <f t="shared" si="28"/>
        <v>-5535.9330626660958</v>
      </c>
      <c r="X201" s="30">
        <f t="shared" si="30"/>
        <v>0</v>
      </c>
      <c r="Y201" s="30">
        <f t="shared" si="31"/>
        <v>0</v>
      </c>
    </row>
    <row r="202" spans="1:25" x14ac:dyDescent="0.15">
      <c r="A202" s="7">
        <v>1198</v>
      </c>
      <c r="B202" s="19">
        <v>45415</v>
      </c>
      <c r="C202" s="7">
        <v>360</v>
      </c>
      <c r="D202" s="19">
        <v>45747</v>
      </c>
      <c r="E202" s="7">
        <v>10</v>
      </c>
      <c r="F202" s="29">
        <v>650262</v>
      </c>
      <c r="G202" s="29">
        <v>611933.11889415013</v>
      </c>
      <c r="H202" s="29">
        <v>677356.25</v>
      </c>
      <c r="I202" s="7">
        <v>96</v>
      </c>
      <c r="J202" s="7" t="s">
        <v>70</v>
      </c>
      <c r="K202" s="7">
        <v>742</v>
      </c>
      <c r="L202" s="7">
        <v>7</v>
      </c>
      <c r="M202" s="7" t="s">
        <v>59</v>
      </c>
      <c r="N202" s="10">
        <v>5.8421120712175104E-2</v>
      </c>
      <c r="O202" s="7">
        <v>0.3</v>
      </c>
      <c r="P202" s="7">
        <v>0.2</v>
      </c>
      <c r="R202" s="30">
        <f t="shared" si="29"/>
        <v>1300.5240000000001</v>
      </c>
      <c r="S202" s="7" t="str">
        <f t="shared" si="24"/>
        <v>&gt; 95</v>
      </c>
      <c r="T202" s="7" t="str">
        <f t="shared" si="25"/>
        <v>700-750</v>
      </c>
      <c r="U202" s="31">
        <f t="shared" si="26"/>
        <v>7.0000000000000007E-2</v>
      </c>
      <c r="V202" s="30">
        <f t="shared" si="27"/>
        <v>192758.93245165731</v>
      </c>
      <c r="W202" s="30">
        <f t="shared" si="28"/>
        <v>66776.962338857702</v>
      </c>
      <c r="X202" s="30">
        <f t="shared" si="30"/>
        <v>66776.962338857702</v>
      </c>
      <c r="Y202" s="30">
        <f t="shared" si="31"/>
        <v>4674.3873637200395</v>
      </c>
    </row>
    <row r="203" spans="1:25" x14ac:dyDescent="0.15">
      <c r="A203" s="7">
        <v>1199</v>
      </c>
      <c r="B203" s="19">
        <v>45310</v>
      </c>
      <c r="C203" s="7">
        <v>360</v>
      </c>
      <c r="D203" s="19">
        <v>45747</v>
      </c>
      <c r="E203" s="7">
        <v>14</v>
      </c>
      <c r="F203" s="29">
        <v>129885</v>
      </c>
      <c r="G203" s="29">
        <v>118741.05739366358</v>
      </c>
      <c r="H203" s="29">
        <v>135296.875</v>
      </c>
      <c r="I203" s="7">
        <v>96</v>
      </c>
      <c r="J203" s="7" t="s">
        <v>73</v>
      </c>
      <c r="K203" s="7">
        <v>633</v>
      </c>
      <c r="L203" s="7">
        <v>48</v>
      </c>
      <c r="M203" s="7" t="s">
        <v>59</v>
      </c>
      <c r="N203" s="10">
        <v>6.2058197208916664E-2</v>
      </c>
      <c r="O203" s="7">
        <v>0.3</v>
      </c>
      <c r="P203" s="7">
        <v>0.21</v>
      </c>
      <c r="R203" s="30">
        <f t="shared" si="29"/>
        <v>272.75849999999997</v>
      </c>
      <c r="S203" s="7" t="str">
        <f t="shared" si="24"/>
        <v>&gt; 95</v>
      </c>
      <c r="T203" s="7" t="str">
        <f t="shared" si="25"/>
        <v>&lt; 650</v>
      </c>
      <c r="U203" s="31">
        <f t="shared" si="26"/>
        <v>0.11</v>
      </c>
      <c r="V203" s="30">
        <f t="shared" si="27"/>
        <v>37403.433079004026</v>
      </c>
      <c r="W203" s="30">
        <f t="shared" si="28"/>
        <v>9675.7665133467672</v>
      </c>
      <c r="X203" s="30">
        <f t="shared" si="30"/>
        <v>9675.7665133467672</v>
      </c>
      <c r="Y203" s="30">
        <f t="shared" si="31"/>
        <v>1064.3343164681444</v>
      </c>
    </row>
    <row r="204" spans="1:25" x14ac:dyDescent="0.15">
      <c r="A204" s="7">
        <v>1200</v>
      </c>
      <c r="B204" s="19">
        <v>45295</v>
      </c>
      <c r="C204" s="7">
        <v>360</v>
      </c>
      <c r="D204" s="19">
        <v>45747</v>
      </c>
      <c r="E204" s="7">
        <v>14</v>
      </c>
      <c r="F204" s="29">
        <v>561005</v>
      </c>
      <c r="G204" s="29">
        <v>508156.31737886241</v>
      </c>
      <c r="H204" s="29">
        <v>630342.69662921352</v>
      </c>
      <c r="I204" s="7">
        <v>89</v>
      </c>
      <c r="J204" s="7" t="s">
        <v>65</v>
      </c>
      <c r="K204" s="7">
        <v>717</v>
      </c>
      <c r="L204" s="7">
        <v>38</v>
      </c>
      <c r="M204" s="7" t="s">
        <v>59</v>
      </c>
      <c r="N204" s="10">
        <v>7.1126144754080398E-2</v>
      </c>
      <c r="O204" s="7">
        <v>0.12</v>
      </c>
      <c r="P204" s="7">
        <v>0.27</v>
      </c>
      <c r="R204" s="30">
        <f t="shared" si="29"/>
        <v>1514.7135000000001</v>
      </c>
      <c r="S204" s="7" t="str">
        <f t="shared" si="24"/>
        <v>85-90</v>
      </c>
      <c r="T204" s="7" t="str">
        <f t="shared" si="25"/>
        <v>700-750</v>
      </c>
      <c r="U204" s="31">
        <f t="shared" si="26"/>
        <v>0.03</v>
      </c>
      <c r="V204" s="30">
        <f t="shared" si="27"/>
        <v>64027.695989736661</v>
      </c>
      <c r="W204" s="30">
        <f t="shared" si="28"/>
        <v>-2227.1588870259002</v>
      </c>
      <c r="X204" s="30">
        <f t="shared" si="30"/>
        <v>0</v>
      </c>
      <c r="Y204" s="30">
        <f t="shared" si="31"/>
        <v>0</v>
      </c>
    </row>
    <row r="205" spans="1:25" x14ac:dyDescent="0.15">
      <c r="A205" s="7">
        <v>1201</v>
      </c>
      <c r="B205" s="19">
        <v>45470</v>
      </c>
      <c r="C205" s="7">
        <v>360</v>
      </c>
      <c r="D205" s="19">
        <v>45747</v>
      </c>
      <c r="E205" s="7">
        <v>9</v>
      </c>
      <c r="F205" s="29">
        <v>138602</v>
      </c>
      <c r="G205" s="29">
        <v>131663.53755629354</v>
      </c>
      <c r="H205" s="29">
        <v>147448.93617021278</v>
      </c>
      <c r="I205" s="7">
        <v>94</v>
      </c>
      <c r="J205" s="7" t="s">
        <v>60</v>
      </c>
      <c r="K205" s="7">
        <v>748</v>
      </c>
      <c r="L205" s="7">
        <v>4</v>
      </c>
      <c r="M205" s="7" t="s">
        <v>59</v>
      </c>
      <c r="N205" s="10">
        <v>5.3148297407169996E-2</v>
      </c>
      <c r="O205" s="7">
        <v>0.25</v>
      </c>
      <c r="P205" s="7">
        <v>0.28000000000000003</v>
      </c>
      <c r="R205" s="30">
        <f t="shared" si="29"/>
        <v>388.08560000000006</v>
      </c>
      <c r="S205" s="7" t="str">
        <f t="shared" si="24"/>
        <v>90-95</v>
      </c>
      <c r="T205" s="7" t="str">
        <f t="shared" si="25"/>
        <v>700-750</v>
      </c>
      <c r="U205" s="31">
        <f t="shared" si="26"/>
        <v>0.06</v>
      </c>
      <c r="V205" s="30">
        <f t="shared" si="27"/>
        <v>34561.678608527058</v>
      </c>
      <c r="W205" s="30">
        <f t="shared" si="28"/>
        <v>12915.118689427371</v>
      </c>
      <c r="X205" s="30">
        <f t="shared" si="30"/>
        <v>12915.118689427371</v>
      </c>
      <c r="Y205" s="30">
        <f t="shared" si="31"/>
        <v>774.90712136564218</v>
      </c>
    </row>
    <row r="206" spans="1:25" x14ac:dyDescent="0.15">
      <c r="A206" s="7">
        <v>1202</v>
      </c>
      <c r="B206" s="19">
        <v>45453</v>
      </c>
      <c r="C206" s="7">
        <v>360</v>
      </c>
      <c r="D206" s="19">
        <v>45747</v>
      </c>
      <c r="E206" s="7">
        <v>9</v>
      </c>
      <c r="F206" s="29">
        <v>681459</v>
      </c>
      <c r="G206" s="29">
        <v>646727.87926816021</v>
      </c>
      <c r="H206" s="29">
        <v>821034.93975903618</v>
      </c>
      <c r="I206" s="7">
        <v>83</v>
      </c>
      <c r="J206" s="7" t="s">
        <v>70</v>
      </c>
      <c r="K206" s="7">
        <v>723</v>
      </c>
      <c r="L206" s="7">
        <v>4</v>
      </c>
      <c r="M206" s="7" t="s">
        <v>59</v>
      </c>
      <c r="N206" s="10">
        <v>5.4760451893816356E-2</v>
      </c>
      <c r="O206" s="7">
        <v>0.12</v>
      </c>
      <c r="P206" s="7">
        <v>0.28000000000000003</v>
      </c>
      <c r="R206" s="30">
        <f t="shared" si="29"/>
        <v>1908.0852000000002</v>
      </c>
      <c r="S206" s="7" t="str">
        <f t="shared" si="24"/>
        <v>80-85</v>
      </c>
      <c r="T206" s="7" t="str">
        <f t="shared" si="25"/>
        <v>700-750</v>
      </c>
      <c r="U206" s="31">
        <f t="shared" si="26"/>
        <v>2.5000000000000001E-2</v>
      </c>
      <c r="V206" s="30">
        <f t="shared" si="27"/>
        <v>81487.712787788187</v>
      </c>
      <c r="W206" s="30">
        <f t="shared" si="28"/>
        <v>-18815.425563612487</v>
      </c>
      <c r="X206" s="30">
        <f t="shared" si="30"/>
        <v>0</v>
      </c>
      <c r="Y206" s="30">
        <f t="shared" si="31"/>
        <v>0</v>
      </c>
    </row>
    <row r="207" spans="1:25" x14ac:dyDescent="0.15">
      <c r="A207" s="7">
        <v>1203</v>
      </c>
      <c r="B207" s="19">
        <v>45473</v>
      </c>
      <c r="C207" s="7">
        <v>360</v>
      </c>
      <c r="D207" s="19">
        <v>45747</v>
      </c>
      <c r="E207" s="7">
        <v>9</v>
      </c>
      <c r="F207" s="29">
        <v>553633</v>
      </c>
      <c r="G207" s="29">
        <v>521745.75042342278</v>
      </c>
      <c r="H207" s="29">
        <v>659086.90476190473</v>
      </c>
      <c r="I207" s="7">
        <v>84</v>
      </c>
      <c r="J207" s="7" t="s">
        <v>69</v>
      </c>
      <c r="K207" s="7">
        <v>723</v>
      </c>
      <c r="L207" s="7">
        <v>13</v>
      </c>
      <c r="M207" s="7" t="s">
        <v>59</v>
      </c>
      <c r="N207" s="10">
        <v>6.6196860366288274E-2</v>
      </c>
      <c r="O207" s="7">
        <v>0.12</v>
      </c>
      <c r="P207" s="7">
        <v>0.2</v>
      </c>
      <c r="R207" s="30">
        <f t="shared" si="29"/>
        <v>1107.2660000000001</v>
      </c>
      <c r="S207" s="7" t="str">
        <f t="shared" si="24"/>
        <v>80-85</v>
      </c>
      <c r="T207" s="7" t="str">
        <f t="shared" si="25"/>
        <v>700-750</v>
      </c>
      <c r="U207" s="31">
        <f t="shared" si="26"/>
        <v>2.5000000000000001E-2</v>
      </c>
      <c r="V207" s="30">
        <f t="shared" si="27"/>
        <v>65739.964553351267</v>
      </c>
      <c r="W207" s="30">
        <f t="shared" si="28"/>
        <v>-12390.831103025121</v>
      </c>
      <c r="X207" s="30">
        <f t="shared" si="30"/>
        <v>0</v>
      </c>
      <c r="Y207" s="30">
        <f t="shared" si="31"/>
        <v>0</v>
      </c>
    </row>
    <row r="208" spans="1:25" x14ac:dyDescent="0.15">
      <c r="A208" s="7">
        <v>1204</v>
      </c>
      <c r="B208" s="19">
        <v>45419</v>
      </c>
      <c r="C208" s="7">
        <v>360</v>
      </c>
      <c r="D208" s="19">
        <v>45747</v>
      </c>
      <c r="E208" s="7">
        <v>10</v>
      </c>
      <c r="F208" s="29">
        <v>663368</v>
      </c>
      <c r="G208" s="29">
        <v>621377.90210514423</v>
      </c>
      <c r="H208" s="29">
        <v>753827.27272727271</v>
      </c>
      <c r="I208" s="7">
        <v>88</v>
      </c>
      <c r="J208" s="7" t="s">
        <v>61</v>
      </c>
      <c r="K208" s="7">
        <v>799</v>
      </c>
      <c r="L208" s="7">
        <v>40</v>
      </c>
      <c r="M208" s="7" t="s">
        <v>59</v>
      </c>
      <c r="N208" s="10">
        <v>6.5139157400342609E-2</v>
      </c>
      <c r="O208" s="7">
        <v>0.12</v>
      </c>
      <c r="P208" s="7">
        <v>0.32</v>
      </c>
      <c r="R208" s="30">
        <f t="shared" si="29"/>
        <v>2122.7775999999999</v>
      </c>
      <c r="S208" s="7" t="str">
        <f t="shared" si="24"/>
        <v>85-90</v>
      </c>
      <c r="T208" s="7" t="str">
        <f t="shared" si="25"/>
        <v>750-800</v>
      </c>
      <c r="U208" s="31">
        <f t="shared" si="26"/>
        <v>0.02</v>
      </c>
      <c r="V208" s="30">
        <f t="shared" si="27"/>
        <v>78293.615665248173</v>
      </c>
      <c r="W208" s="30">
        <f t="shared" si="28"/>
        <v>11693.615392219741</v>
      </c>
      <c r="X208" s="30">
        <f t="shared" si="30"/>
        <v>11693.615392219741</v>
      </c>
      <c r="Y208" s="30">
        <f t="shared" si="31"/>
        <v>233.87230784439481</v>
      </c>
    </row>
    <row r="209" spans="1:25" x14ac:dyDescent="0.15">
      <c r="A209" s="7">
        <v>1205</v>
      </c>
      <c r="B209" s="19">
        <v>45333</v>
      </c>
      <c r="C209" s="7">
        <v>360</v>
      </c>
      <c r="D209" s="19">
        <v>45747</v>
      </c>
      <c r="E209" s="7">
        <v>13</v>
      </c>
      <c r="F209" s="29">
        <v>115942</v>
      </c>
      <c r="G209" s="29">
        <v>105217.75797099559</v>
      </c>
      <c r="H209" s="29">
        <v>131752.27272727274</v>
      </c>
      <c r="I209" s="7">
        <v>88</v>
      </c>
      <c r="J209" s="7" t="s">
        <v>71</v>
      </c>
      <c r="K209" s="7">
        <v>724</v>
      </c>
      <c r="L209" s="7">
        <v>19</v>
      </c>
      <c r="M209" s="7" t="s">
        <v>59</v>
      </c>
      <c r="N209" s="10">
        <v>7.6790033704533023E-2</v>
      </c>
      <c r="O209" s="7">
        <v>0.12</v>
      </c>
      <c r="P209" s="7">
        <v>0.44</v>
      </c>
      <c r="R209" s="30">
        <f t="shared" si="29"/>
        <v>510.14480000000003</v>
      </c>
      <c r="S209" s="7" t="str">
        <f t="shared" si="24"/>
        <v>85-90</v>
      </c>
      <c r="T209" s="7" t="str">
        <f t="shared" si="25"/>
        <v>700-750</v>
      </c>
      <c r="U209" s="31">
        <f t="shared" si="26"/>
        <v>0.03</v>
      </c>
      <c r="V209" s="30">
        <f t="shared" si="27"/>
        <v>13257.437504345444</v>
      </c>
      <c r="W209" s="30">
        <f t="shared" si="28"/>
        <v>-1510.7859486364468</v>
      </c>
      <c r="X209" s="30">
        <f t="shared" si="30"/>
        <v>0</v>
      </c>
      <c r="Y209" s="30">
        <f t="shared" si="31"/>
        <v>0</v>
      </c>
    </row>
    <row r="210" spans="1:25" x14ac:dyDescent="0.15">
      <c r="A210" s="7">
        <v>1206</v>
      </c>
      <c r="B210" s="19">
        <v>45350</v>
      </c>
      <c r="C210" s="7">
        <v>360</v>
      </c>
      <c r="D210" s="19">
        <v>45747</v>
      </c>
      <c r="E210" s="7">
        <v>13</v>
      </c>
      <c r="F210" s="29">
        <v>749809</v>
      </c>
      <c r="G210" s="29">
        <v>684809.54573311319</v>
      </c>
      <c r="H210" s="29">
        <v>842482.02247191011</v>
      </c>
      <c r="I210" s="7">
        <v>89</v>
      </c>
      <c r="J210" s="7" t="s">
        <v>66</v>
      </c>
      <c r="K210" s="7">
        <v>836</v>
      </c>
      <c r="L210" s="7">
        <v>25</v>
      </c>
      <c r="M210" s="7" t="s">
        <v>59</v>
      </c>
      <c r="N210" s="10">
        <v>7.0227471851156423E-2</v>
      </c>
      <c r="O210" s="7">
        <v>0.12</v>
      </c>
      <c r="P210" s="7">
        <v>0.36</v>
      </c>
      <c r="R210" s="30">
        <f t="shared" si="29"/>
        <v>2699.3123999999998</v>
      </c>
      <c r="S210" s="7" t="str">
        <f t="shared" si="24"/>
        <v>85-90</v>
      </c>
      <c r="T210" s="7" t="str">
        <f t="shared" si="25"/>
        <v>&gt; 800</v>
      </c>
      <c r="U210" s="31">
        <f t="shared" si="26"/>
        <v>0.01</v>
      </c>
      <c r="V210" s="30">
        <f t="shared" si="27"/>
        <v>86286.002762372256</v>
      </c>
      <c r="W210" s="30">
        <f t="shared" si="28"/>
        <v>2940.3039186452515</v>
      </c>
      <c r="X210" s="30">
        <f t="shared" si="30"/>
        <v>2940.3039186452515</v>
      </c>
      <c r="Y210" s="30">
        <f t="shared" si="31"/>
        <v>29.403039186452517</v>
      </c>
    </row>
    <row r="211" spans="1:25" x14ac:dyDescent="0.15">
      <c r="A211" s="7">
        <v>1207</v>
      </c>
      <c r="B211" s="19">
        <v>45415</v>
      </c>
      <c r="C211" s="7">
        <v>360</v>
      </c>
      <c r="D211" s="19">
        <v>45747</v>
      </c>
      <c r="E211" s="7">
        <v>10</v>
      </c>
      <c r="F211" s="29">
        <v>317120</v>
      </c>
      <c r="G211" s="29">
        <v>296790.87382283038</v>
      </c>
      <c r="H211" s="29">
        <v>352355.55555555556</v>
      </c>
      <c r="I211" s="7">
        <v>90</v>
      </c>
      <c r="J211" s="7" t="s">
        <v>67</v>
      </c>
      <c r="K211" s="7">
        <v>669</v>
      </c>
      <c r="L211" s="7">
        <v>18</v>
      </c>
      <c r="M211" s="7" t="s">
        <v>59</v>
      </c>
      <c r="N211" s="10">
        <v>6.6362452031863056E-2</v>
      </c>
      <c r="O211" s="7">
        <v>0.25</v>
      </c>
      <c r="P211" s="7">
        <v>0.25</v>
      </c>
      <c r="R211" s="30">
        <f t="shared" si="29"/>
        <v>792.8</v>
      </c>
      <c r="S211" s="7" t="str">
        <f t="shared" si="24"/>
        <v>85-90</v>
      </c>
      <c r="T211" s="7" t="str">
        <f t="shared" si="25"/>
        <v>650-700</v>
      </c>
      <c r="U211" s="31">
        <f t="shared" si="26"/>
        <v>0.04</v>
      </c>
      <c r="V211" s="30">
        <f t="shared" si="27"/>
        <v>77907.604378492979</v>
      </c>
      <c r="W211" s="30">
        <f t="shared" si="28"/>
        <v>12128.195291749667</v>
      </c>
      <c r="X211" s="30">
        <f t="shared" si="30"/>
        <v>12128.195291749667</v>
      </c>
      <c r="Y211" s="30">
        <f t="shared" si="31"/>
        <v>485.12781166998673</v>
      </c>
    </row>
    <row r="212" spans="1:25" x14ac:dyDescent="0.15">
      <c r="A212" s="7">
        <v>1208</v>
      </c>
      <c r="B212" s="19">
        <v>45371</v>
      </c>
      <c r="C212" s="7">
        <v>360</v>
      </c>
      <c r="D212" s="19">
        <v>45747</v>
      </c>
      <c r="E212" s="7">
        <v>12</v>
      </c>
      <c r="F212" s="29">
        <v>254704</v>
      </c>
      <c r="G212" s="29">
        <v>237852.96291490833</v>
      </c>
      <c r="H212" s="29">
        <v>292763.2183908046</v>
      </c>
      <c r="I212" s="7">
        <v>87</v>
      </c>
      <c r="J212" s="7" t="s">
        <v>72</v>
      </c>
      <c r="K212" s="7">
        <v>798</v>
      </c>
      <c r="L212" s="7">
        <v>48</v>
      </c>
      <c r="M212" s="7" t="s">
        <v>59</v>
      </c>
      <c r="N212" s="10">
        <v>5.2358475973916033E-2</v>
      </c>
      <c r="O212" s="7">
        <v>0.12</v>
      </c>
      <c r="P212" s="7">
        <v>0.28999999999999998</v>
      </c>
      <c r="R212" s="30">
        <f t="shared" si="29"/>
        <v>738.64159999999993</v>
      </c>
      <c r="S212" s="7" t="str">
        <f t="shared" si="24"/>
        <v>85-90</v>
      </c>
      <c r="T212" s="7" t="str">
        <f t="shared" si="25"/>
        <v>750-800</v>
      </c>
      <c r="U212" s="31">
        <f t="shared" si="26"/>
        <v>0.02</v>
      </c>
      <c r="V212" s="30">
        <f t="shared" si="27"/>
        <v>29969.473327278451</v>
      </c>
      <c r="W212" s="30">
        <f t="shared" si="28"/>
        <v>896.87542846985161</v>
      </c>
      <c r="X212" s="30">
        <f t="shared" si="30"/>
        <v>896.87542846985161</v>
      </c>
      <c r="Y212" s="30">
        <f t="shared" si="31"/>
        <v>17.937508569397032</v>
      </c>
    </row>
    <row r="213" spans="1:25" x14ac:dyDescent="0.15">
      <c r="A213" s="7">
        <v>1209</v>
      </c>
      <c r="B213" s="19">
        <v>45355</v>
      </c>
      <c r="C213" s="7">
        <v>360</v>
      </c>
      <c r="D213" s="19">
        <v>45747</v>
      </c>
      <c r="E213" s="7">
        <v>12</v>
      </c>
      <c r="F213" s="29">
        <v>324477</v>
      </c>
      <c r="G213" s="29">
        <v>298717.53311946895</v>
      </c>
      <c r="H213" s="29">
        <v>368723.86363636365</v>
      </c>
      <c r="I213" s="7">
        <v>88</v>
      </c>
      <c r="J213" s="7" t="s">
        <v>66</v>
      </c>
      <c r="K213" s="7">
        <v>749</v>
      </c>
      <c r="L213" s="7">
        <v>42</v>
      </c>
      <c r="M213" s="7" t="s">
        <v>59</v>
      </c>
      <c r="N213" s="10">
        <v>6.9442678290918408E-2</v>
      </c>
      <c r="O213" s="7">
        <v>0.12</v>
      </c>
      <c r="P213" s="7">
        <v>0.26</v>
      </c>
      <c r="R213" s="30">
        <f t="shared" si="29"/>
        <v>843.64020000000005</v>
      </c>
      <c r="S213" s="7" t="str">
        <f t="shared" si="24"/>
        <v>85-90</v>
      </c>
      <c r="T213" s="7" t="str">
        <f t="shared" si="25"/>
        <v>700-750</v>
      </c>
      <c r="U213" s="31">
        <f t="shared" si="26"/>
        <v>0.03</v>
      </c>
      <c r="V213" s="30">
        <f t="shared" si="27"/>
        <v>37638.409173053085</v>
      </c>
      <c r="W213" s="30">
        <f t="shared" si="28"/>
        <v>238.12568453326821</v>
      </c>
      <c r="X213" s="30">
        <f t="shared" si="30"/>
        <v>238.12568453326821</v>
      </c>
      <c r="Y213" s="30">
        <f t="shared" si="31"/>
        <v>7.1437705359980459</v>
      </c>
    </row>
    <row r="214" spans="1:25" x14ac:dyDescent="0.15">
      <c r="A214" s="7">
        <v>1210</v>
      </c>
      <c r="B214" s="19">
        <v>45359</v>
      </c>
      <c r="C214" s="7">
        <v>360</v>
      </c>
      <c r="D214" s="19">
        <v>45747</v>
      </c>
      <c r="E214" s="7">
        <v>12</v>
      </c>
      <c r="F214" s="29">
        <v>764303</v>
      </c>
      <c r="G214" s="29">
        <v>698062.15861552849</v>
      </c>
      <c r="H214" s="29">
        <v>899180</v>
      </c>
      <c r="I214" s="7">
        <v>85</v>
      </c>
      <c r="J214" s="7" t="s">
        <v>70</v>
      </c>
      <c r="K214" s="7">
        <v>783</v>
      </c>
      <c r="L214" s="7">
        <v>38</v>
      </c>
      <c r="M214" s="7" t="s">
        <v>59</v>
      </c>
      <c r="N214" s="10">
        <v>7.8341472146295138E-2</v>
      </c>
      <c r="O214" s="7">
        <v>0.12</v>
      </c>
      <c r="P214" s="7">
        <v>0.45</v>
      </c>
      <c r="R214" s="30">
        <f t="shared" si="29"/>
        <v>3439.3635000000004</v>
      </c>
      <c r="S214" s="7" t="str">
        <f t="shared" si="24"/>
        <v>80-85</v>
      </c>
      <c r="T214" s="7" t="str">
        <f t="shared" si="25"/>
        <v>750-800</v>
      </c>
      <c r="U214" s="31">
        <f t="shared" si="26"/>
        <v>0.02</v>
      </c>
      <c r="V214" s="30">
        <f t="shared" si="27"/>
        <v>87955.831985556593</v>
      </c>
      <c r="W214" s="30">
        <f t="shared" si="28"/>
        <v>-31337.73345369508</v>
      </c>
      <c r="X214" s="30">
        <f t="shared" si="30"/>
        <v>0</v>
      </c>
      <c r="Y214" s="30">
        <f t="shared" si="31"/>
        <v>0</v>
      </c>
    </row>
    <row r="215" spans="1:25" x14ac:dyDescent="0.15">
      <c r="A215" s="7">
        <v>1211</v>
      </c>
      <c r="B215" s="19">
        <v>45301</v>
      </c>
      <c r="C215" s="7">
        <v>360</v>
      </c>
      <c r="D215" s="19">
        <v>45747</v>
      </c>
      <c r="E215" s="7">
        <v>14</v>
      </c>
      <c r="F215" s="29">
        <v>311374</v>
      </c>
      <c r="G215" s="29">
        <v>281982.37771253136</v>
      </c>
      <c r="H215" s="29">
        <v>379724.39024390245</v>
      </c>
      <c r="I215" s="7">
        <v>82</v>
      </c>
      <c r="J215" s="7" t="s">
        <v>68</v>
      </c>
      <c r="K215" s="7">
        <v>623</v>
      </c>
      <c r="L215" s="7">
        <v>15</v>
      </c>
      <c r="M215" s="7" t="s">
        <v>59</v>
      </c>
      <c r="N215" s="10">
        <v>7.1326941073238434E-2</v>
      </c>
      <c r="O215" s="7">
        <v>0.12</v>
      </c>
      <c r="P215" s="7">
        <v>0.21</v>
      </c>
      <c r="R215" s="30">
        <f t="shared" si="29"/>
        <v>653.8854</v>
      </c>
      <c r="S215" s="7" t="str">
        <f t="shared" si="24"/>
        <v>80-85</v>
      </c>
      <c r="T215" s="7" t="str">
        <f t="shared" si="25"/>
        <v>&lt; 650</v>
      </c>
      <c r="U215" s="31">
        <f t="shared" si="26"/>
        <v>0.04</v>
      </c>
      <c r="V215" s="30">
        <f t="shared" si="27"/>
        <v>35529.779591778955</v>
      </c>
      <c r="W215" s="30">
        <f t="shared" si="28"/>
        <v>-26684.235109159083</v>
      </c>
      <c r="X215" s="30">
        <f t="shared" si="30"/>
        <v>0</v>
      </c>
      <c r="Y215" s="30">
        <f t="shared" si="31"/>
        <v>0</v>
      </c>
    </row>
    <row r="216" spans="1:25" x14ac:dyDescent="0.15">
      <c r="A216" s="7">
        <v>1212</v>
      </c>
      <c r="B216" s="19">
        <v>45352</v>
      </c>
      <c r="C216" s="7">
        <v>360</v>
      </c>
      <c r="D216" s="19">
        <v>45747</v>
      </c>
      <c r="E216" s="7">
        <v>12</v>
      </c>
      <c r="F216" s="29">
        <v>540365</v>
      </c>
      <c r="G216" s="29">
        <v>497318.92335718143</v>
      </c>
      <c r="H216" s="29">
        <v>643291.66666666674</v>
      </c>
      <c r="I216" s="7">
        <v>84</v>
      </c>
      <c r="J216" s="7" t="s">
        <v>67</v>
      </c>
      <c r="K216" s="7">
        <v>603</v>
      </c>
      <c r="L216" s="7">
        <v>48</v>
      </c>
      <c r="M216" s="7" t="s">
        <v>59</v>
      </c>
      <c r="N216" s="10">
        <v>6.9782527374797135E-2</v>
      </c>
      <c r="O216" s="7">
        <v>0.12</v>
      </c>
      <c r="P216" s="7">
        <v>0.39</v>
      </c>
      <c r="R216" s="30">
        <f t="shared" si="29"/>
        <v>2107.4234999999999</v>
      </c>
      <c r="S216" s="7" t="str">
        <f t="shared" si="24"/>
        <v>80-85</v>
      </c>
      <c r="T216" s="7" t="str">
        <f t="shared" si="25"/>
        <v>&lt; 650</v>
      </c>
      <c r="U216" s="31">
        <f t="shared" si="26"/>
        <v>0.04</v>
      </c>
      <c r="V216" s="30">
        <f t="shared" si="27"/>
        <v>62662.184343004861</v>
      </c>
      <c r="W216" s="30">
        <f t="shared" si="28"/>
        <v>-24613.047141626244</v>
      </c>
      <c r="X216" s="30">
        <f t="shared" si="30"/>
        <v>0</v>
      </c>
      <c r="Y216" s="30">
        <f t="shared" si="31"/>
        <v>0</v>
      </c>
    </row>
    <row r="217" spans="1:25" x14ac:dyDescent="0.15">
      <c r="A217" s="7">
        <v>1213</v>
      </c>
      <c r="B217" s="19">
        <v>45414</v>
      </c>
      <c r="C217" s="7">
        <v>360</v>
      </c>
      <c r="D217" s="19">
        <v>45747</v>
      </c>
      <c r="E217" s="7">
        <v>10</v>
      </c>
      <c r="F217" s="29">
        <v>527332</v>
      </c>
      <c r="G217" s="29">
        <v>491123.99398575549</v>
      </c>
      <c r="H217" s="29">
        <v>599240.90909090906</v>
      </c>
      <c r="I217" s="7">
        <v>88</v>
      </c>
      <c r="J217" s="7" t="s">
        <v>67</v>
      </c>
      <c r="K217" s="7">
        <v>619</v>
      </c>
      <c r="L217" s="7">
        <v>35</v>
      </c>
      <c r="M217" s="7" t="s">
        <v>59</v>
      </c>
      <c r="N217" s="10">
        <v>7.3155261370931174E-2</v>
      </c>
      <c r="O217" s="7">
        <v>0.12</v>
      </c>
      <c r="P217" s="7">
        <v>0.3</v>
      </c>
      <c r="R217" s="30">
        <f t="shared" si="29"/>
        <v>1581.9960000000001</v>
      </c>
      <c r="S217" s="7" t="str">
        <f t="shared" si="24"/>
        <v>85-90</v>
      </c>
      <c r="T217" s="7" t="str">
        <f t="shared" si="25"/>
        <v>&lt; 650</v>
      </c>
      <c r="U217" s="31">
        <f t="shared" si="26"/>
        <v>0.05</v>
      </c>
      <c r="V217" s="30">
        <f t="shared" si="27"/>
        <v>61881.623242205191</v>
      </c>
      <c r="W217" s="30">
        <f t="shared" si="28"/>
        <v>6325.4209577705478</v>
      </c>
      <c r="X217" s="30">
        <f t="shared" si="30"/>
        <v>6325.4209577705478</v>
      </c>
      <c r="Y217" s="30">
        <f t="shared" si="31"/>
        <v>316.27104788852739</v>
      </c>
    </row>
    <row r="218" spans="1:25" x14ac:dyDescent="0.15">
      <c r="A218" s="7">
        <v>1214</v>
      </c>
      <c r="B218" s="19">
        <v>45376</v>
      </c>
      <c r="C218" s="7">
        <v>360</v>
      </c>
      <c r="D218" s="19">
        <v>45747</v>
      </c>
      <c r="E218" s="7">
        <v>12</v>
      </c>
      <c r="F218" s="29">
        <v>532013</v>
      </c>
      <c r="G218" s="29">
        <v>489526.81298555282</v>
      </c>
      <c r="H218" s="29">
        <v>665016.25</v>
      </c>
      <c r="I218" s="7">
        <v>80</v>
      </c>
      <c r="J218" s="7" t="s">
        <v>69</v>
      </c>
      <c r="K218" s="7">
        <v>793</v>
      </c>
      <c r="L218" s="7">
        <v>35</v>
      </c>
      <c r="M218" s="7" t="s">
        <v>59</v>
      </c>
      <c r="N218" s="10">
        <v>7.002854093097291E-2</v>
      </c>
      <c r="O218" s="7">
        <v>0.12</v>
      </c>
      <c r="P218" s="7">
        <v>0.32</v>
      </c>
      <c r="R218" s="30">
        <f t="shared" si="29"/>
        <v>1702.4416000000001</v>
      </c>
      <c r="S218" s="7" t="str">
        <f t="shared" si="24"/>
        <v>80-85</v>
      </c>
      <c r="T218" s="7" t="str">
        <f t="shared" si="25"/>
        <v>750-800</v>
      </c>
      <c r="U218" s="31">
        <f t="shared" si="26"/>
        <v>0.02</v>
      </c>
      <c r="V218" s="30">
        <f t="shared" si="27"/>
        <v>61680.378436179657</v>
      </c>
      <c r="W218" s="30">
        <f t="shared" si="28"/>
        <v>-51260.658865169506</v>
      </c>
      <c r="X218" s="30">
        <f t="shared" si="30"/>
        <v>0</v>
      </c>
      <c r="Y218" s="30">
        <f t="shared" si="31"/>
        <v>0</v>
      </c>
    </row>
    <row r="219" spans="1:25" x14ac:dyDescent="0.15">
      <c r="A219" s="7">
        <v>1215</v>
      </c>
      <c r="B219" s="19">
        <v>45450</v>
      </c>
      <c r="C219" s="7">
        <v>360</v>
      </c>
      <c r="D219" s="19">
        <v>45747</v>
      </c>
      <c r="E219" s="7">
        <v>9</v>
      </c>
      <c r="F219" s="29">
        <v>336815</v>
      </c>
      <c r="G219" s="29">
        <v>319067.60581143189</v>
      </c>
      <c r="H219" s="29">
        <v>400970.23809523811</v>
      </c>
      <c r="I219" s="7">
        <v>84</v>
      </c>
      <c r="J219" s="7" t="s">
        <v>68</v>
      </c>
      <c r="K219" s="7">
        <v>834</v>
      </c>
      <c r="L219" s="7">
        <v>33</v>
      </c>
      <c r="M219" s="7" t="s">
        <v>59</v>
      </c>
      <c r="N219" s="10">
        <v>5.7797577869140512E-2</v>
      </c>
      <c r="O219" s="7">
        <v>0.12</v>
      </c>
      <c r="P219" s="7">
        <v>0.39</v>
      </c>
      <c r="R219" s="30">
        <f t="shared" si="29"/>
        <v>1313.5785000000001</v>
      </c>
      <c r="S219" s="7" t="str">
        <f t="shared" si="24"/>
        <v>80-85</v>
      </c>
      <c r="T219" s="7" t="str">
        <f t="shared" si="25"/>
        <v>&gt; 800</v>
      </c>
      <c r="U219" s="31">
        <f t="shared" si="26"/>
        <v>0.01</v>
      </c>
      <c r="V219" s="30">
        <f t="shared" si="27"/>
        <v>40202.518332240419</v>
      </c>
      <c r="W219" s="30">
        <f t="shared" si="28"/>
        <v>-5803.7162789488793</v>
      </c>
      <c r="X219" s="30">
        <f t="shared" si="30"/>
        <v>0</v>
      </c>
      <c r="Y219" s="30">
        <f t="shared" si="31"/>
        <v>0</v>
      </c>
    </row>
    <row r="220" spans="1:25" x14ac:dyDescent="0.15">
      <c r="A220" s="7">
        <v>1216</v>
      </c>
      <c r="B220" s="19">
        <v>45427</v>
      </c>
      <c r="C220" s="7">
        <v>360</v>
      </c>
      <c r="D220" s="19">
        <v>45747</v>
      </c>
      <c r="E220" s="7">
        <v>10</v>
      </c>
      <c r="F220" s="29">
        <v>666357</v>
      </c>
      <c r="G220" s="29">
        <v>620136.83831980149</v>
      </c>
      <c r="H220" s="29">
        <v>774833.72093023255</v>
      </c>
      <c r="I220" s="7">
        <v>86</v>
      </c>
      <c r="J220" s="7" t="s">
        <v>62</v>
      </c>
      <c r="K220" s="7">
        <v>624</v>
      </c>
      <c r="L220" s="7">
        <v>34</v>
      </c>
      <c r="M220" s="7" t="s">
        <v>59</v>
      </c>
      <c r="N220" s="10">
        <v>7.4182411746822857E-2</v>
      </c>
      <c r="O220" s="7">
        <v>0.12</v>
      </c>
      <c r="P220" s="7">
        <v>0.39</v>
      </c>
      <c r="R220" s="30">
        <f t="shared" si="29"/>
        <v>2598.7923000000001</v>
      </c>
      <c r="S220" s="7" t="str">
        <f t="shared" si="24"/>
        <v>85-90</v>
      </c>
      <c r="T220" s="7" t="str">
        <f t="shared" si="25"/>
        <v>&lt; 650</v>
      </c>
      <c r="U220" s="31">
        <f t="shared" si="26"/>
        <v>0.05</v>
      </c>
      <c r="V220" s="30">
        <f t="shared" si="27"/>
        <v>78137.241628294985</v>
      </c>
      <c r="W220" s="30">
        <f t="shared" si="28"/>
        <v>-7464.9825549060479</v>
      </c>
      <c r="X220" s="30">
        <f t="shared" si="30"/>
        <v>0</v>
      </c>
      <c r="Y220" s="30">
        <f t="shared" si="31"/>
        <v>0</v>
      </c>
    </row>
    <row r="221" spans="1:25" x14ac:dyDescent="0.15">
      <c r="A221" s="7">
        <v>1217</v>
      </c>
      <c r="B221" s="19">
        <v>45442</v>
      </c>
      <c r="C221" s="7">
        <v>360</v>
      </c>
      <c r="D221" s="19">
        <v>45747</v>
      </c>
      <c r="E221" s="7">
        <v>10</v>
      </c>
      <c r="F221" s="29">
        <v>630177</v>
      </c>
      <c r="G221" s="29">
        <v>586052.28556138359</v>
      </c>
      <c r="H221" s="29">
        <v>759249.39759036154</v>
      </c>
      <c r="I221" s="7">
        <v>83</v>
      </c>
      <c r="J221" s="7" t="s">
        <v>63</v>
      </c>
      <c r="K221" s="7">
        <v>707</v>
      </c>
      <c r="L221" s="7">
        <v>12</v>
      </c>
      <c r="M221" s="7" t="s">
        <v>59</v>
      </c>
      <c r="N221" s="10">
        <v>7.5143234431250136E-2</v>
      </c>
      <c r="O221" s="7">
        <v>0.12</v>
      </c>
      <c r="P221" s="7">
        <v>0.23</v>
      </c>
      <c r="R221" s="30">
        <f t="shared" si="29"/>
        <v>1449.4070999999999</v>
      </c>
      <c r="S221" s="7" t="str">
        <f t="shared" si="24"/>
        <v>80-85</v>
      </c>
      <c r="T221" s="7" t="str">
        <f t="shared" si="25"/>
        <v>700-750</v>
      </c>
      <c r="U221" s="31">
        <f t="shared" si="26"/>
        <v>2.5000000000000001E-2</v>
      </c>
      <c r="V221" s="30">
        <f t="shared" si="27"/>
        <v>73842.58798073433</v>
      </c>
      <c r="W221" s="30">
        <f t="shared" si="28"/>
        <v>-30007.088112354511</v>
      </c>
      <c r="X221" s="30">
        <f t="shared" si="30"/>
        <v>0</v>
      </c>
      <c r="Y221" s="30">
        <f t="shared" si="31"/>
        <v>0</v>
      </c>
    </row>
    <row r="222" spans="1:25" x14ac:dyDescent="0.15">
      <c r="A222" s="7">
        <v>1218</v>
      </c>
      <c r="B222" s="19">
        <v>45293</v>
      </c>
      <c r="C222" s="7">
        <v>360</v>
      </c>
      <c r="D222" s="19">
        <v>45747</v>
      </c>
      <c r="E222" s="7">
        <v>14</v>
      </c>
      <c r="F222" s="29">
        <v>112948</v>
      </c>
      <c r="G222" s="29">
        <v>101540.39842886067</v>
      </c>
      <c r="H222" s="29">
        <v>122769.5652173913</v>
      </c>
      <c r="I222" s="7">
        <v>92</v>
      </c>
      <c r="J222" s="7" t="s">
        <v>74</v>
      </c>
      <c r="K222" s="7">
        <v>652</v>
      </c>
      <c r="L222" s="7">
        <v>46</v>
      </c>
      <c r="M222" s="7" t="s">
        <v>59</v>
      </c>
      <c r="N222" s="10">
        <v>7.8223641572898933E-2</v>
      </c>
      <c r="O222" s="7">
        <v>0.25</v>
      </c>
      <c r="P222" s="7">
        <v>0.32</v>
      </c>
      <c r="R222" s="30">
        <f t="shared" si="29"/>
        <v>361.43360000000001</v>
      </c>
      <c r="S222" s="7" t="str">
        <f t="shared" si="24"/>
        <v>90-95</v>
      </c>
      <c r="T222" s="7" t="str">
        <f t="shared" si="25"/>
        <v>650-700</v>
      </c>
      <c r="U222" s="31">
        <f t="shared" si="26"/>
        <v>7.0000000000000007E-2</v>
      </c>
      <c r="V222" s="30">
        <f t="shared" si="27"/>
        <v>26654.354587575926</v>
      </c>
      <c r="W222" s="30">
        <f t="shared" si="28"/>
        <v>2263.2879155211122</v>
      </c>
      <c r="X222" s="30">
        <f t="shared" si="30"/>
        <v>2263.2879155211122</v>
      </c>
      <c r="Y222" s="30">
        <f t="shared" si="31"/>
        <v>158.43015408647787</v>
      </c>
    </row>
    <row r="223" spans="1:25" x14ac:dyDescent="0.15">
      <c r="A223" s="7">
        <v>1219</v>
      </c>
      <c r="B223" s="19">
        <v>45343</v>
      </c>
      <c r="C223" s="7">
        <v>360</v>
      </c>
      <c r="D223" s="19">
        <v>45747</v>
      </c>
      <c r="E223" s="7">
        <v>13</v>
      </c>
      <c r="F223" s="29">
        <v>145501</v>
      </c>
      <c r="G223" s="29">
        <v>131998.338504543</v>
      </c>
      <c r="H223" s="29">
        <v>179630.86419753084</v>
      </c>
      <c r="I223" s="7">
        <v>81</v>
      </c>
      <c r="J223" s="7" t="s">
        <v>73</v>
      </c>
      <c r="K223" s="7">
        <v>624</v>
      </c>
      <c r="L223" s="7">
        <v>30</v>
      </c>
      <c r="M223" s="7" t="s">
        <v>59</v>
      </c>
      <c r="N223" s="10">
        <v>7.7129703956184639E-2</v>
      </c>
      <c r="O223" s="7">
        <v>0.12</v>
      </c>
      <c r="P223" s="7">
        <v>0.38</v>
      </c>
      <c r="R223" s="30">
        <f t="shared" si="29"/>
        <v>552.90379999999993</v>
      </c>
      <c r="S223" s="7" t="str">
        <f t="shared" si="24"/>
        <v>80-85</v>
      </c>
      <c r="T223" s="7" t="str">
        <f t="shared" si="25"/>
        <v>&lt; 650</v>
      </c>
      <c r="U223" s="31">
        <f t="shared" si="26"/>
        <v>0.04</v>
      </c>
      <c r="V223" s="30">
        <f t="shared" si="27"/>
        <v>16631.790651572417</v>
      </c>
      <c r="W223" s="30">
        <f t="shared" si="28"/>
        <v>-14087.97913813105</v>
      </c>
      <c r="X223" s="30">
        <f t="shared" si="30"/>
        <v>0</v>
      </c>
      <c r="Y223" s="30">
        <f t="shared" si="31"/>
        <v>0</v>
      </c>
    </row>
    <row r="224" spans="1:25" x14ac:dyDescent="0.15">
      <c r="A224" s="7">
        <v>1220</v>
      </c>
      <c r="B224" s="19">
        <v>45434</v>
      </c>
      <c r="C224" s="7">
        <v>360</v>
      </c>
      <c r="D224" s="19">
        <v>45747</v>
      </c>
      <c r="E224" s="7">
        <v>10</v>
      </c>
      <c r="F224" s="29">
        <v>652562</v>
      </c>
      <c r="G224" s="29">
        <v>610904.96288369363</v>
      </c>
      <c r="H224" s="29">
        <v>709306.52173913037</v>
      </c>
      <c r="I224" s="7">
        <v>92</v>
      </c>
      <c r="J224" s="7" t="s">
        <v>61</v>
      </c>
      <c r="K224" s="7">
        <v>837</v>
      </c>
      <c r="L224" s="7">
        <v>34</v>
      </c>
      <c r="M224" s="7" t="s">
        <v>59</v>
      </c>
      <c r="N224" s="10">
        <v>6.5954961810049936E-2</v>
      </c>
      <c r="O224" s="7">
        <v>0.25</v>
      </c>
      <c r="P224" s="7">
        <v>0.4</v>
      </c>
      <c r="R224" s="30">
        <f t="shared" si="29"/>
        <v>2610.248</v>
      </c>
      <c r="S224" s="7" t="str">
        <f t="shared" si="24"/>
        <v>90-95</v>
      </c>
      <c r="T224" s="7" t="str">
        <f t="shared" si="25"/>
        <v>&gt; 800</v>
      </c>
      <c r="U224" s="31">
        <f t="shared" si="26"/>
        <v>0.04</v>
      </c>
      <c r="V224" s="30">
        <f t="shared" si="27"/>
        <v>160362.55275696958</v>
      </c>
      <c r="W224" s="30">
        <f t="shared" si="28"/>
        <v>38539.667549617589</v>
      </c>
      <c r="X224" s="30">
        <f t="shared" si="30"/>
        <v>38539.667549617589</v>
      </c>
      <c r="Y224" s="30">
        <f t="shared" si="31"/>
        <v>1541.5867019847035</v>
      </c>
    </row>
    <row r="225" spans="1:25" x14ac:dyDescent="0.15">
      <c r="A225" s="7">
        <v>1221</v>
      </c>
      <c r="B225" s="19">
        <v>45360</v>
      </c>
      <c r="C225" s="7">
        <v>360</v>
      </c>
      <c r="D225" s="19">
        <v>45747</v>
      </c>
      <c r="E225" s="7">
        <v>12</v>
      </c>
      <c r="F225" s="29">
        <v>741774</v>
      </c>
      <c r="G225" s="29">
        <v>685488.58849129244</v>
      </c>
      <c r="H225" s="29">
        <v>824193.33333333326</v>
      </c>
      <c r="I225" s="7">
        <v>90</v>
      </c>
      <c r="J225" s="7" t="s">
        <v>74</v>
      </c>
      <c r="K225" s="7">
        <v>802</v>
      </c>
      <c r="L225" s="7">
        <v>4</v>
      </c>
      <c r="M225" s="7" t="s">
        <v>59</v>
      </c>
      <c r="N225" s="10">
        <v>6.5039655996027831E-2</v>
      </c>
      <c r="O225" s="7">
        <v>0.25</v>
      </c>
      <c r="P225" s="7">
        <v>0.36</v>
      </c>
      <c r="R225" s="30">
        <f t="shared" si="29"/>
        <v>2670.3864000000003</v>
      </c>
      <c r="S225" s="7" t="str">
        <f t="shared" si="24"/>
        <v>85-90</v>
      </c>
      <c r="T225" s="7" t="str">
        <f t="shared" si="25"/>
        <v>&gt; 800</v>
      </c>
      <c r="U225" s="31">
        <f t="shared" si="26"/>
        <v>0.01</v>
      </c>
      <c r="V225" s="30">
        <f t="shared" si="27"/>
        <v>179940.75447896429</v>
      </c>
      <c r="W225" s="30">
        <f t="shared" si="28"/>
        <v>19198.684582523885</v>
      </c>
      <c r="X225" s="30">
        <f t="shared" si="30"/>
        <v>19198.684582523885</v>
      </c>
      <c r="Y225" s="30">
        <f t="shared" si="31"/>
        <v>191.98684582523885</v>
      </c>
    </row>
    <row r="226" spans="1:25" x14ac:dyDescent="0.15">
      <c r="A226" s="7">
        <v>1222</v>
      </c>
      <c r="B226" s="19">
        <v>45378</v>
      </c>
      <c r="C226" s="7">
        <v>360</v>
      </c>
      <c r="D226" s="19">
        <v>45747</v>
      </c>
      <c r="E226" s="7">
        <v>12</v>
      </c>
      <c r="F226" s="29">
        <v>796097</v>
      </c>
      <c r="G226" s="29">
        <v>726761.26637976826</v>
      </c>
      <c r="H226" s="29">
        <v>915054.02298850578</v>
      </c>
      <c r="I226" s="7">
        <v>87</v>
      </c>
      <c r="J226" s="7" t="s">
        <v>68</v>
      </c>
      <c r="K226" s="7">
        <v>764</v>
      </c>
      <c r="L226" s="7">
        <v>44</v>
      </c>
      <c r="M226" s="7" t="s">
        <v>59</v>
      </c>
      <c r="N226" s="10">
        <v>7.8853535559412199E-2</v>
      </c>
      <c r="O226" s="7">
        <v>0.12</v>
      </c>
      <c r="P226" s="7">
        <v>0.36</v>
      </c>
      <c r="R226" s="30">
        <f t="shared" si="29"/>
        <v>2865.9492</v>
      </c>
      <c r="S226" s="7" t="str">
        <f t="shared" si="24"/>
        <v>85-90</v>
      </c>
      <c r="T226" s="7" t="str">
        <f t="shared" si="25"/>
        <v>750-800</v>
      </c>
      <c r="U226" s="31">
        <f t="shared" si="26"/>
        <v>0.02</v>
      </c>
      <c r="V226" s="30">
        <f t="shared" si="27"/>
        <v>91571.919563850795</v>
      </c>
      <c r="W226" s="30">
        <f t="shared" si="28"/>
        <v>-14696.589841473149</v>
      </c>
      <c r="X226" s="30">
        <f t="shared" si="30"/>
        <v>0</v>
      </c>
      <c r="Y226" s="30">
        <f t="shared" si="31"/>
        <v>0</v>
      </c>
    </row>
    <row r="227" spans="1:25" x14ac:dyDescent="0.15">
      <c r="A227" s="7">
        <v>1223</v>
      </c>
      <c r="B227" s="19">
        <v>45446</v>
      </c>
      <c r="C227" s="7">
        <v>360</v>
      </c>
      <c r="D227" s="19">
        <v>45747</v>
      </c>
      <c r="E227" s="7">
        <v>9</v>
      </c>
      <c r="F227" s="29">
        <v>112219</v>
      </c>
      <c r="G227" s="29">
        <v>105444.97170838533</v>
      </c>
      <c r="H227" s="29">
        <v>126088.76404494382</v>
      </c>
      <c r="I227" s="7">
        <v>89</v>
      </c>
      <c r="J227" s="7" t="s">
        <v>66</v>
      </c>
      <c r="K227" s="7">
        <v>623</v>
      </c>
      <c r="L227" s="7">
        <v>23</v>
      </c>
      <c r="M227" s="7" t="s">
        <v>59</v>
      </c>
      <c r="N227" s="10">
        <v>7.0804632927063918E-2</v>
      </c>
      <c r="O227" s="7">
        <v>0.12</v>
      </c>
      <c r="P227" s="7">
        <v>0.43</v>
      </c>
      <c r="R227" s="30">
        <f t="shared" si="29"/>
        <v>482.54169999999999</v>
      </c>
      <c r="S227" s="7" t="str">
        <f t="shared" si="24"/>
        <v>85-90</v>
      </c>
      <c r="T227" s="7" t="str">
        <f t="shared" si="25"/>
        <v>&lt; 650</v>
      </c>
      <c r="U227" s="31">
        <f t="shared" si="26"/>
        <v>0.05</v>
      </c>
      <c r="V227" s="30">
        <f t="shared" si="27"/>
        <v>13286.066435256553</v>
      </c>
      <c r="W227" s="30">
        <f t="shared" si="28"/>
        <v>3541.7708556023717</v>
      </c>
      <c r="X227" s="30">
        <f t="shared" si="30"/>
        <v>3541.7708556023717</v>
      </c>
      <c r="Y227" s="30">
        <f t="shared" si="31"/>
        <v>177.08854278011859</v>
      </c>
    </row>
    <row r="228" spans="1:25" x14ac:dyDescent="0.15">
      <c r="A228" s="7">
        <v>1224</v>
      </c>
      <c r="B228" s="19">
        <v>45368</v>
      </c>
      <c r="C228" s="7">
        <v>360</v>
      </c>
      <c r="D228" s="19">
        <v>45747</v>
      </c>
      <c r="E228" s="7">
        <v>12</v>
      </c>
      <c r="F228" s="29">
        <v>398291</v>
      </c>
      <c r="G228" s="29">
        <v>366022.13684471109</v>
      </c>
      <c r="H228" s="29">
        <v>468577.64705882355</v>
      </c>
      <c r="I228" s="7">
        <v>85</v>
      </c>
      <c r="J228" s="7" t="s">
        <v>64</v>
      </c>
      <c r="K228" s="7">
        <v>792</v>
      </c>
      <c r="L228" s="7">
        <v>44</v>
      </c>
      <c r="M228" s="7" t="s">
        <v>59</v>
      </c>
      <c r="N228" s="10">
        <v>7.1462375173903678E-2</v>
      </c>
      <c r="O228" s="7">
        <v>0.12</v>
      </c>
      <c r="P228" s="7">
        <v>0.31</v>
      </c>
      <c r="R228" s="30">
        <f t="shared" si="29"/>
        <v>1234.7021</v>
      </c>
      <c r="S228" s="7" t="str">
        <f t="shared" si="24"/>
        <v>80-85</v>
      </c>
      <c r="T228" s="7" t="str">
        <f t="shared" si="25"/>
        <v>750-800</v>
      </c>
      <c r="U228" s="31">
        <f t="shared" si="26"/>
        <v>0.02</v>
      </c>
      <c r="V228" s="30">
        <f t="shared" si="27"/>
        <v>46118.789242433595</v>
      </c>
      <c r="W228" s="30">
        <f t="shared" si="28"/>
        <v>-13967.756313053367</v>
      </c>
      <c r="X228" s="30">
        <f t="shared" si="30"/>
        <v>0</v>
      </c>
      <c r="Y228" s="30">
        <f t="shared" si="31"/>
        <v>0</v>
      </c>
    </row>
    <row r="229" spans="1:25" x14ac:dyDescent="0.15">
      <c r="A229" s="7">
        <v>1225</v>
      </c>
      <c r="B229" s="19">
        <v>45353</v>
      </c>
      <c r="C229" s="7">
        <v>360</v>
      </c>
      <c r="D229" s="19">
        <v>45747</v>
      </c>
      <c r="E229" s="7">
        <v>12</v>
      </c>
      <c r="F229" s="29">
        <v>348567</v>
      </c>
      <c r="G229" s="29">
        <v>318473.56434103963</v>
      </c>
      <c r="H229" s="29">
        <v>435708.75</v>
      </c>
      <c r="I229" s="7">
        <v>80</v>
      </c>
      <c r="J229" s="7" t="s">
        <v>68</v>
      </c>
      <c r="K229" s="7">
        <v>689</v>
      </c>
      <c r="L229" s="7">
        <v>2</v>
      </c>
      <c r="M229" s="7" t="s">
        <v>59</v>
      </c>
      <c r="N229" s="10">
        <v>7.7940122286844757E-2</v>
      </c>
      <c r="O229" s="7">
        <v>0.12</v>
      </c>
      <c r="P229" s="7">
        <v>0.27</v>
      </c>
      <c r="R229" s="30">
        <f t="shared" si="29"/>
        <v>941.13090000000011</v>
      </c>
      <c r="S229" s="7" t="str">
        <f t="shared" si="24"/>
        <v>80-85</v>
      </c>
      <c r="T229" s="7" t="str">
        <f t="shared" si="25"/>
        <v>650-700</v>
      </c>
      <c r="U229" s="31">
        <f t="shared" si="26"/>
        <v>0.03</v>
      </c>
      <c r="V229" s="30">
        <f t="shared" si="27"/>
        <v>40127.669106971</v>
      </c>
      <c r="W229" s="30">
        <f t="shared" si="28"/>
        <v>-35955.194941908354</v>
      </c>
      <c r="X229" s="30">
        <f t="shared" si="30"/>
        <v>0</v>
      </c>
      <c r="Y229" s="30">
        <f t="shared" si="31"/>
        <v>0</v>
      </c>
    </row>
    <row r="230" spans="1:25" x14ac:dyDescent="0.15">
      <c r="A230" s="7">
        <v>1226</v>
      </c>
      <c r="B230" s="19">
        <v>45393</v>
      </c>
      <c r="C230" s="7">
        <v>360</v>
      </c>
      <c r="D230" s="19">
        <v>45747</v>
      </c>
      <c r="E230" s="7">
        <v>11</v>
      </c>
      <c r="F230" s="29">
        <v>719278</v>
      </c>
      <c r="G230" s="29">
        <v>662848.26558969845</v>
      </c>
      <c r="H230" s="29">
        <v>799197.77777777775</v>
      </c>
      <c r="I230" s="7">
        <v>90</v>
      </c>
      <c r="J230" s="7" t="s">
        <v>69</v>
      </c>
      <c r="K230" s="7">
        <v>705</v>
      </c>
      <c r="L230" s="7">
        <v>28</v>
      </c>
      <c r="M230" s="7" t="s">
        <v>59</v>
      </c>
      <c r="N230" s="10">
        <v>7.703648181996231E-2</v>
      </c>
      <c r="O230" s="7">
        <v>0.25</v>
      </c>
      <c r="P230" s="7">
        <v>0.2</v>
      </c>
      <c r="R230" s="30">
        <f t="shared" si="29"/>
        <v>1438.556</v>
      </c>
      <c r="S230" s="7" t="str">
        <f t="shared" si="24"/>
        <v>85-90</v>
      </c>
      <c r="T230" s="7" t="str">
        <f t="shared" si="25"/>
        <v>700-750</v>
      </c>
      <c r="U230" s="31">
        <f t="shared" si="26"/>
        <v>0.03</v>
      </c>
      <c r="V230" s="30">
        <f t="shared" si="27"/>
        <v>173997.66971729585</v>
      </c>
      <c r="W230" s="30">
        <f t="shared" si="28"/>
        <v>16672.567758072284</v>
      </c>
      <c r="X230" s="30">
        <f t="shared" si="30"/>
        <v>16672.567758072284</v>
      </c>
      <c r="Y230" s="30">
        <f t="shared" si="31"/>
        <v>500.17703274216848</v>
      </c>
    </row>
    <row r="231" spans="1:25" x14ac:dyDescent="0.15">
      <c r="A231" s="7">
        <v>1227</v>
      </c>
      <c r="B231" s="19">
        <v>45466</v>
      </c>
      <c r="C231" s="7">
        <v>360</v>
      </c>
      <c r="D231" s="19">
        <v>45747</v>
      </c>
      <c r="E231" s="7">
        <v>9</v>
      </c>
      <c r="F231" s="29">
        <v>356777</v>
      </c>
      <c r="G231" s="29">
        <v>339096.45397566649</v>
      </c>
      <c r="H231" s="29">
        <v>375554.73684210528</v>
      </c>
      <c r="I231" s="7">
        <v>95</v>
      </c>
      <c r="J231" s="7" t="s">
        <v>74</v>
      </c>
      <c r="K231" s="7">
        <v>653</v>
      </c>
      <c r="L231" s="7">
        <v>7</v>
      </c>
      <c r="M231" s="7" t="s">
        <v>59</v>
      </c>
      <c r="N231" s="10">
        <v>5.224502381818158E-2</v>
      </c>
      <c r="O231" s="7">
        <v>0.3</v>
      </c>
      <c r="P231" s="7">
        <v>0.33</v>
      </c>
      <c r="R231" s="30">
        <f t="shared" si="29"/>
        <v>1177.3641</v>
      </c>
      <c r="S231" s="7" t="str">
        <f t="shared" si="24"/>
        <v>90-95</v>
      </c>
      <c r="T231" s="7" t="str">
        <f t="shared" si="25"/>
        <v>650-700</v>
      </c>
      <c r="U231" s="31">
        <f t="shared" si="26"/>
        <v>7.0000000000000007E-2</v>
      </c>
      <c r="V231" s="30">
        <f t="shared" si="27"/>
        <v>106815.38300233496</v>
      </c>
      <c r="W231" s="30">
        <f t="shared" si="28"/>
        <v>36829.750358660356</v>
      </c>
      <c r="X231" s="30">
        <f t="shared" si="30"/>
        <v>36829.750358660356</v>
      </c>
      <c r="Y231" s="30">
        <f t="shared" si="31"/>
        <v>2578.0825251062251</v>
      </c>
    </row>
    <row r="232" spans="1:25" x14ac:dyDescent="0.15">
      <c r="A232" s="7">
        <v>1228</v>
      </c>
      <c r="B232" s="19">
        <v>45377</v>
      </c>
      <c r="C232" s="7">
        <v>360</v>
      </c>
      <c r="D232" s="19">
        <v>45747</v>
      </c>
      <c r="E232" s="7">
        <v>12</v>
      </c>
      <c r="F232" s="29">
        <v>203028</v>
      </c>
      <c r="G232" s="29">
        <v>186397.27206116484</v>
      </c>
      <c r="H232" s="29">
        <v>247595.12195121954</v>
      </c>
      <c r="I232" s="7">
        <v>82</v>
      </c>
      <c r="J232" s="7" t="s">
        <v>70</v>
      </c>
      <c r="K232" s="7">
        <v>612</v>
      </c>
      <c r="L232" s="7">
        <v>31</v>
      </c>
      <c r="M232" s="7" t="s">
        <v>59</v>
      </c>
      <c r="N232" s="10">
        <v>7.2564268149220415E-2</v>
      </c>
      <c r="O232" s="7">
        <v>0.12</v>
      </c>
      <c r="P232" s="7">
        <v>0.45</v>
      </c>
      <c r="R232" s="30">
        <f t="shared" si="29"/>
        <v>913.62600000000009</v>
      </c>
      <c r="S232" s="7" t="str">
        <f t="shared" si="24"/>
        <v>80-85</v>
      </c>
      <c r="T232" s="7" t="str">
        <f t="shared" si="25"/>
        <v>&lt; 650</v>
      </c>
      <c r="U232" s="31">
        <f t="shared" si="26"/>
        <v>0.04</v>
      </c>
      <c r="V232" s="30">
        <f t="shared" si="27"/>
        <v>23486.056279706769</v>
      </c>
      <c r="W232" s="30">
        <f t="shared" si="28"/>
        <v>-14738.717994313512</v>
      </c>
      <c r="X232" s="30">
        <f t="shared" si="30"/>
        <v>0</v>
      </c>
      <c r="Y232" s="30">
        <f t="shared" si="31"/>
        <v>0</v>
      </c>
    </row>
    <row r="233" spans="1:25" x14ac:dyDescent="0.15">
      <c r="A233" s="7">
        <v>1229</v>
      </c>
      <c r="B233" s="19">
        <v>45387</v>
      </c>
      <c r="C233" s="7">
        <v>360</v>
      </c>
      <c r="D233" s="19">
        <v>45747</v>
      </c>
      <c r="E233" s="7">
        <v>11</v>
      </c>
      <c r="F233" s="29">
        <v>517742</v>
      </c>
      <c r="G233" s="29">
        <v>486179.71341850969</v>
      </c>
      <c r="H233" s="29">
        <v>533754.63917525776</v>
      </c>
      <c r="I233" s="7">
        <v>97</v>
      </c>
      <c r="J233" s="7" t="s">
        <v>72</v>
      </c>
      <c r="K233" s="7">
        <v>736</v>
      </c>
      <c r="L233" s="7">
        <v>48</v>
      </c>
      <c r="M233" s="7" t="s">
        <v>59</v>
      </c>
      <c r="N233" s="10">
        <v>5.2821182223337627E-2</v>
      </c>
      <c r="O233" s="7">
        <v>0.35</v>
      </c>
      <c r="P233" s="7">
        <v>0.38</v>
      </c>
      <c r="R233" s="30">
        <f t="shared" si="29"/>
        <v>1967.4195999999999</v>
      </c>
      <c r="S233" s="7" t="str">
        <f t="shared" si="24"/>
        <v>&gt; 95</v>
      </c>
      <c r="T233" s="7" t="str">
        <f t="shared" si="25"/>
        <v>700-750</v>
      </c>
      <c r="U233" s="31">
        <f t="shared" si="26"/>
        <v>7.0000000000000007E-2</v>
      </c>
      <c r="V233" s="30">
        <f t="shared" si="27"/>
        <v>178671.04468130233</v>
      </c>
      <c r="W233" s="30">
        <f t="shared" si="28"/>
        <v>56797.255790466152</v>
      </c>
      <c r="X233" s="30">
        <f t="shared" si="30"/>
        <v>56797.255790466152</v>
      </c>
      <c r="Y233" s="30">
        <f t="shared" si="31"/>
        <v>3975.807905332631</v>
      </c>
    </row>
    <row r="234" spans="1:25" x14ac:dyDescent="0.15">
      <c r="A234" s="7">
        <v>1230</v>
      </c>
      <c r="B234" s="19">
        <v>45305</v>
      </c>
      <c r="C234" s="7">
        <v>360</v>
      </c>
      <c r="D234" s="19">
        <v>45747</v>
      </c>
      <c r="E234" s="7">
        <v>14</v>
      </c>
      <c r="F234" s="29">
        <v>161299</v>
      </c>
      <c r="G234" s="29">
        <v>145349.20258914272</v>
      </c>
      <c r="H234" s="29">
        <v>177251.64835164836</v>
      </c>
      <c r="I234" s="7">
        <v>91</v>
      </c>
      <c r="J234" s="7" t="s">
        <v>64</v>
      </c>
      <c r="K234" s="7">
        <v>740</v>
      </c>
      <c r="L234" s="7">
        <v>20</v>
      </c>
      <c r="M234" s="7" t="s">
        <v>59</v>
      </c>
      <c r="N234" s="10">
        <v>7.6034253238518548E-2</v>
      </c>
      <c r="O234" s="7">
        <v>0.25</v>
      </c>
      <c r="P234" s="7">
        <v>0.36</v>
      </c>
      <c r="R234" s="30">
        <f t="shared" si="29"/>
        <v>580.67639999999994</v>
      </c>
      <c r="S234" s="7" t="str">
        <f t="shared" si="24"/>
        <v>90-95</v>
      </c>
      <c r="T234" s="7" t="str">
        <f t="shared" si="25"/>
        <v>700-750</v>
      </c>
      <c r="U234" s="31">
        <f t="shared" si="26"/>
        <v>0.06</v>
      </c>
      <c r="V234" s="30">
        <f t="shared" si="27"/>
        <v>38154.165679649966</v>
      </c>
      <c r="W234" s="30">
        <f t="shared" si="28"/>
        <v>1952.7616196987801</v>
      </c>
      <c r="X234" s="30">
        <f t="shared" si="30"/>
        <v>1952.7616196987801</v>
      </c>
      <c r="Y234" s="30">
        <f t="shared" si="31"/>
        <v>117.1656971819268</v>
      </c>
    </row>
    <row r="235" spans="1:25" x14ac:dyDescent="0.15">
      <c r="A235" s="7">
        <v>1231</v>
      </c>
      <c r="B235" s="19">
        <v>45421</v>
      </c>
      <c r="C235" s="7">
        <v>360</v>
      </c>
      <c r="D235" s="19">
        <v>45747</v>
      </c>
      <c r="E235" s="7">
        <v>10</v>
      </c>
      <c r="F235" s="29">
        <v>545565</v>
      </c>
      <c r="G235" s="29">
        <v>506963.64935127518</v>
      </c>
      <c r="H235" s="29">
        <v>665323.17073170736</v>
      </c>
      <c r="I235" s="7">
        <v>82</v>
      </c>
      <c r="J235" s="7" t="s">
        <v>61</v>
      </c>
      <c r="K235" s="7">
        <v>804</v>
      </c>
      <c r="L235" s="7">
        <v>50</v>
      </c>
      <c r="M235" s="7" t="s">
        <v>59</v>
      </c>
      <c r="N235" s="10">
        <v>7.6214296263773282E-2</v>
      </c>
      <c r="O235" s="7">
        <v>0.12</v>
      </c>
      <c r="P235" s="7">
        <v>0.45</v>
      </c>
      <c r="R235" s="30">
        <f t="shared" si="29"/>
        <v>2455.0425</v>
      </c>
      <c r="S235" s="7" t="str">
        <f t="shared" si="24"/>
        <v>80-85</v>
      </c>
      <c r="T235" s="7" t="str">
        <f t="shared" si="25"/>
        <v>&gt; 800</v>
      </c>
      <c r="U235" s="31">
        <f t="shared" si="26"/>
        <v>0.01</v>
      </c>
      <c r="V235" s="30">
        <f t="shared" si="27"/>
        <v>63877.419818260671</v>
      </c>
      <c r="W235" s="30">
        <f t="shared" si="28"/>
        <v>-33212.863303112332</v>
      </c>
      <c r="X235" s="30">
        <f t="shared" si="30"/>
        <v>0</v>
      </c>
      <c r="Y235" s="30">
        <f t="shared" si="31"/>
        <v>0</v>
      </c>
    </row>
    <row r="236" spans="1:25" x14ac:dyDescent="0.15">
      <c r="A236" s="7">
        <v>1232</v>
      </c>
      <c r="B236" s="19">
        <v>45362</v>
      </c>
      <c r="C236" s="7">
        <v>360</v>
      </c>
      <c r="D236" s="19">
        <v>45747</v>
      </c>
      <c r="E236" s="7">
        <v>12</v>
      </c>
      <c r="F236" s="29">
        <v>250394</v>
      </c>
      <c r="G236" s="29">
        <v>230651.23608804028</v>
      </c>
      <c r="H236" s="29">
        <v>281341.57303370786</v>
      </c>
      <c r="I236" s="7">
        <v>89</v>
      </c>
      <c r="J236" s="7" t="s">
        <v>60</v>
      </c>
      <c r="K236" s="7">
        <v>641</v>
      </c>
      <c r="L236" s="7">
        <v>17</v>
      </c>
      <c r="M236" s="7" t="s">
        <v>59</v>
      </c>
      <c r="N236" s="10">
        <v>6.8769125038083953E-2</v>
      </c>
      <c r="O236" s="7">
        <v>0.12</v>
      </c>
      <c r="P236" s="7">
        <v>0.4</v>
      </c>
      <c r="R236" s="30">
        <f t="shared" si="29"/>
        <v>1001.576</v>
      </c>
      <c r="S236" s="7" t="str">
        <f t="shared" si="24"/>
        <v>85-90</v>
      </c>
      <c r="T236" s="7" t="str">
        <f t="shared" si="25"/>
        <v>&lt; 650</v>
      </c>
      <c r="U236" s="31">
        <f t="shared" si="26"/>
        <v>0.05</v>
      </c>
      <c r="V236" s="30">
        <f t="shared" si="27"/>
        <v>29062.055747093076</v>
      </c>
      <c r="W236" s="30">
        <f t="shared" si="28"/>
        <v>3043.4608137906471</v>
      </c>
      <c r="X236" s="30">
        <f t="shared" si="30"/>
        <v>3043.4608137906471</v>
      </c>
      <c r="Y236" s="30">
        <f t="shared" si="31"/>
        <v>152.17304068953237</v>
      </c>
    </row>
    <row r="237" spans="1:25" x14ac:dyDescent="0.15">
      <c r="A237" s="7">
        <v>1233</v>
      </c>
      <c r="B237" s="19">
        <v>45424</v>
      </c>
      <c r="C237" s="7">
        <v>360</v>
      </c>
      <c r="D237" s="19">
        <v>45747</v>
      </c>
      <c r="E237" s="7">
        <v>10</v>
      </c>
      <c r="F237" s="29">
        <v>249686</v>
      </c>
      <c r="G237" s="29">
        <v>234637.34827995248</v>
      </c>
      <c r="H237" s="29">
        <v>260089.58333333334</v>
      </c>
      <c r="I237" s="7">
        <v>96</v>
      </c>
      <c r="J237" s="7" t="s">
        <v>71</v>
      </c>
      <c r="K237" s="7">
        <v>844</v>
      </c>
      <c r="L237" s="7">
        <v>11</v>
      </c>
      <c r="M237" s="7" t="s">
        <v>59</v>
      </c>
      <c r="N237" s="10">
        <v>6.0489784384298924E-2</v>
      </c>
      <c r="O237" s="7">
        <v>0.3</v>
      </c>
      <c r="P237" s="7">
        <v>0.43</v>
      </c>
      <c r="R237" s="30">
        <f t="shared" si="29"/>
        <v>1073.6497999999999</v>
      </c>
      <c r="S237" s="7" t="str">
        <f t="shared" si="24"/>
        <v>&gt; 95</v>
      </c>
      <c r="T237" s="7" t="str">
        <f t="shared" si="25"/>
        <v>&gt; 800</v>
      </c>
      <c r="U237" s="31">
        <f t="shared" si="26"/>
        <v>0.05</v>
      </c>
      <c r="V237" s="30">
        <f t="shared" si="27"/>
        <v>73910.76470818503</v>
      </c>
      <c r="W237" s="30">
        <f t="shared" si="28"/>
        <v>25293.069860616757</v>
      </c>
      <c r="X237" s="30">
        <f t="shared" si="30"/>
        <v>25293.069860616757</v>
      </c>
      <c r="Y237" s="30">
        <f t="shared" si="31"/>
        <v>1264.653493030838</v>
      </c>
    </row>
    <row r="238" spans="1:25" x14ac:dyDescent="0.15">
      <c r="A238" s="7">
        <v>1234</v>
      </c>
      <c r="B238" s="19">
        <v>45421</v>
      </c>
      <c r="C238" s="7">
        <v>360</v>
      </c>
      <c r="D238" s="19">
        <v>45747</v>
      </c>
      <c r="E238" s="7">
        <v>10</v>
      </c>
      <c r="F238" s="29">
        <v>737577</v>
      </c>
      <c r="G238" s="29">
        <v>696585.94226436387</v>
      </c>
      <c r="H238" s="29">
        <v>801714.13043478259</v>
      </c>
      <c r="I238" s="7">
        <v>92</v>
      </c>
      <c r="J238" s="7" t="s">
        <v>71</v>
      </c>
      <c r="K238" s="7">
        <v>827</v>
      </c>
      <c r="L238" s="7">
        <v>0</v>
      </c>
      <c r="M238" s="7" t="s">
        <v>59</v>
      </c>
      <c r="N238" s="10">
        <v>5.3072172453818192E-2</v>
      </c>
      <c r="O238" s="7">
        <v>0.25</v>
      </c>
      <c r="P238" s="7">
        <v>0.39</v>
      </c>
      <c r="R238" s="30">
        <f t="shared" si="29"/>
        <v>2876.5503000000003</v>
      </c>
      <c r="S238" s="7" t="str">
        <f t="shared" si="24"/>
        <v>90-95</v>
      </c>
      <c r="T238" s="7" t="str">
        <f t="shared" si="25"/>
        <v>&gt; 800</v>
      </c>
      <c r="U238" s="31">
        <f t="shared" si="26"/>
        <v>0.04</v>
      </c>
      <c r="V238" s="30">
        <f t="shared" si="27"/>
        <v>182853.80984439552</v>
      </c>
      <c r="W238" s="30">
        <f t="shared" si="28"/>
        <v>49958.228508016909</v>
      </c>
      <c r="X238" s="30">
        <f t="shared" si="30"/>
        <v>49958.228508016909</v>
      </c>
      <c r="Y238" s="30">
        <f t="shared" si="31"/>
        <v>1998.3291403206765</v>
      </c>
    </row>
    <row r="239" spans="1:25" x14ac:dyDescent="0.15">
      <c r="A239" s="7">
        <v>1235</v>
      </c>
      <c r="B239" s="19">
        <v>45364</v>
      </c>
      <c r="C239" s="7">
        <v>360</v>
      </c>
      <c r="D239" s="19">
        <v>45747</v>
      </c>
      <c r="E239" s="7">
        <v>12</v>
      </c>
      <c r="F239" s="29">
        <v>472061</v>
      </c>
      <c r="G239" s="29">
        <v>438356.02466624085</v>
      </c>
      <c r="H239" s="29">
        <v>486660.82474226807</v>
      </c>
      <c r="I239" s="7">
        <v>97</v>
      </c>
      <c r="J239" s="7" t="s">
        <v>66</v>
      </c>
      <c r="K239" s="7">
        <v>798</v>
      </c>
      <c r="L239" s="7">
        <v>12</v>
      </c>
      <c r="M239" s="7" t="s">
        <v>59</v>
      </c>
      <c r="N239" s="10">
        <v>5.9290527645669631E-2</v>
      </c>
      <c r="O239" s="7">
        <v>0.35</v>
      </c>
      <c r="P239" s="7">
        <v>0.41</v>
      </c>
      <c r="R239" s="30">
        <f t="shared" si="29"/>
        <v>1935.4500999999998</v>
      </c>
      <c r="S239" s="7" t="str">
        <f t="shared" si="24"/>
        <v>&gt; 95</v>
      </c>
      <c r="T239" s="7" t="str">
        <f t="shared" si="25"/>
        <v>750-800</v>
      </c>
      <c r="U239" s="31">
        <f t="shared" si="26"/>
        <v>0.06</v>
      </c>
      <c r="V239" s="30">
        <f t="shared" si="27"/>
        <v>161095.83906484352</v>
      </c>
      <c r="W239" s="30">
        <f t="shared" si="28"/>
        <v>46612.124868625076</v>
      </c>
      <c r="X239" s="30">
        <f t="shared" si="30"/>
        <v>46612.124868625076</v>
      </c>
      <c r="Y239" s="30">
        <f t="shared" si="31"/>
        <v>2796.7274921175044</v>
      </c>
    </row>
    <row r="240" spans="1:25" x14ac:dyDescent="0.15">
      <c r="A240" s="7">
        <v>1236</v>
      </c>
      <c r="B240" s="19">
        <v>45415</v>
      </c>
      <c r="C240" s="7">
        <v>360</v>
      </c>
      <c r="D240" s="19">
        <v>45747</v>
      </c>
      <c r="E240" s="7">
        <v>10</v>
      </c>
      <c r="F240" s="29">
        <v>737247</v>
      </c>
      <c r="G240" s="29">
        <v>694233.09613936953</v>
      </c>
      <c r="H240" s="29">
        <v>899081.70731707325</v>
      </c>
      <c r="I240" s="7">
        <v>82</v>
      </c>
      <c r="J240" s="7" t="s">
        <v>72</v>
      </c>
      <c r="K240" s="7">
        <v>630</v>
      </c>
      <c r="L240" s="7">
        <v>43</v>
      </c>
      <c r="M240" s="7" t="s">
        <v>59</v>
      </c>
      <c r="N240" s="10">
        <v>5.7479010329195362E-2</v>
      </c>
      <c r="O240" s="7">
        <v>0.12</v>
      </c>
      <c r="P240" s="7">
        <v>0.21</v>
      </c>
      <c r="R240" s="30">
        <f t="shared" si="29"/>
        <v>1548.2186999999999</v>
      </c>
      <c r="S240" s="7" t="str">
        <f t="shared" si="24"/>
        <v>80-85</v>
      </c>
      <c r="T240" s="7" t="str">
        <f t="shared" si="25"/>
        <v>&lt; 650</v>
      </c>
      <c r="U240" s="31">
        <f t="shared" si="26"/>
        <v>0.04</v>
      </c>
      <c r="V240" s="30">
        <f t="shared" si="27"/>
        <v>87473.370113560566</v>
      </c>
      <c r="W240" s="30">
        <f t="shared" si="28"/>
        <v>-35274.70027317421</v>
      </c>
      <c r="X240" s="30">
        <f t="shared" si="30"/>
        <v>0</v>
      </c>
      <c r="Y240" s="30">
        <f t="shared" si="31"/>
        <v>0</v>
      </c>
    </row>
    <row r="241" spans="1:25" x14ac:dyDescent="0.15">
      <c r="A241" s="7">
        <v>1237</v>
      </c>
      <c r="B241" s="19">
        <v>45426</v>
      </c>
      <c r="C241" s="7">
        <v>360</v>
      </c>
      <c r="D241" s="19">
        <v>45747</v>
      </c>
      <c r="E241" s="7">
        <v>10</v>
      </c>
      <c r="F241" s="29">
        <v>538847</v>
      </c>
      <c r="G241" s="29">
        <v>499580.79695398506</v>
      </c>
      <c r="H241" s="29">
        <v>649213.2530120482</v>
      </c>
      <c r="I241" s="7">
        <v>83</v>
      </c>
      <c r="J241" s="7" t="s">
        <v>62</v>
      </c>
      <c r="K241" s="7">
        <v>812</v>
      </c>
      <c r="L241" s="7">
        <v>19</v>
      </c>
      <c r="M241" s="7" t="s">
        <v>59</v>
      </c>
      <c r="N241" s="10">
        <v>7.927371484848679E-2</v>
      </c>
      <c r="O241" s="7">
        <v>0.12</v>
      </c>
      <c r="P241" s="7">
        <v>0.2</v>
      </c>
      <c r="R241" s="30">
        <f t="shared" si="29"/>
        <v>1077.6940000000002</v>
      </c>
      <c r="S241" s="7" t="str">
        <f t="shared" si="24"/>
        <v>80-85</v>
      </c>
      <c r="T241" s="7" t="str">
        <f t="shared" si="25"/>
        <v>&gt; 800</v>
      </c>
      <c r="U241" s="31">
        <f t="shared" si="26"/>
        <v>0.01</v>
      </c>
      <c r="V241" s="30">
        <f t="shared" si="27"/>
        <v>62947.180416202122</v>
      </c>
      <c r="W241" s="30">
        <f t="shared" si="28"/>
        <v>-27271.42825855664</v>
      </c>
      <c r="X241" s="30">
        <f t="shared" si="30"/>
        <v>0</v>
      </c>
      <c r="Y241" s="30">
        <f t="shared" si="31"/>
        <v>0</v>
      </c>
    </row>
    <row r="242" spans="1:25" x14ac:dyDescent="0.15">
      <c r="A242" s="7">
        <v>1238</v>
      </c>
      <c r="B242" s="19">
        <v>45361</v>
      </c>
      <c r="C242" s="7">
        <v>360</v>
      </c>
      <c r="D242" s="19">
        <v>45747</v>
      </c>
      <c r="E242" s="7">
        <v>12</v>
      </c>
      <c r="F242" s="29">
        <v>577919</v>
      </c>
      <c r="G242" s="29">
        <v>540121.7526951161</v>
      </c>
      <c r="H242" s="29">
        <v>595792.78350515466</v>
      </c>
      <c r="I242" s="7">
        <v>97</v>
      </c>
      <c r="J242" s="7" t="s">
        <v>72</v>
      </c>
      <c r="K242" s="7">
        <v>694</v>
      </c>
      <c r="L242" s="7">
        <v>14</v>
      </c>
      <c r="M242" s="7" t="s">
        <v>59</v>
      </c>
      <c r="N242" s="10">
        <v>5.1336511134612628E-2</v>
      </c>
      <c r="O242" s="7">
        <v>0.35</v>
      </c>
      <c r="P242" s="7">
        <v>0.41</v>
      </c>
      <c r="R242" s="30">
        <f t="shared" si="29"/>
        <v>2369.4678999999996</v>
      </c>
      <c r="S242" s="7" t="str">
        <f t="shared" si="24"/>
        <v>&gt; 95</v>
      </c>
      <c r="T242" s="7" t="str">
        <f t="shared" si="25"/>
        <v>650-700</v>
      </c>
      <c r="U242" s="31">
        <f t="shared" si="26"/>
        <v>0.08</v>
      </c>
      <c r="V242" s="30">
        <f t="shared" si="27"/>
        <v>198494.74411545519</v>
      </c>
      <c r="W242" s="30">
        <f t="shared" si="28"/>
        <v>60703.974350490549</v>
      </c>
      <c r="X242" s="30">
        <f t="shared" si="30"/>
        <v>60703.974350490549</v>
      </c>
      <c r="Y242" s="30">
        <f t="shared" si="31"/>
        <v>4856.3179480392437</v>
      </c>
    </row>
    <row r="243" spans="1:25" x14ac:dyDescent="0.15">
      <c r="A243" s="7">
        <v>1239</v>
      </c>
      <c r="B243" s="19">
        <v>45432</v>
      </c>
      <c r="C243" s="7">
        <v>360</v>
      </c>
      <c r="D243" s="19">
        <v>45747</v>
      </c>
      <c r="E243" s="7">
        <v>10</v>
      </c>
      <c r="F243" s="29">
        <v>417570</v>
      </c>
      <c r="G243" s="29">
        <v>387505.38709801866</v>
      </c>
      <c r="H243" s="29">
        <v>485546.51162790699</v>
      </c>
      <c r="I243" s="7">
        <v>86</v>
      </c>
      <c r="J243" s="7" t="s">
        <v>72</v>
      </c>
      <c r="K243" s="7">
        <v>787</v>
      </c>
      <c r="L243" s="7">
        <v>5</v>
      </c>
      <c r="M243" s="7" t="s">
        <v>59</v>
      </c>
      <c r="N243" s="10">
        <v>7.8017228521582813E-2</v>
      </c>
      <c r="O243" s="7">
        <v>0.12</v>
      </c>
      <c r="P243" s="7">
        <v>0.37</v>
      </c>
      <c r="R243" s="30">
        <f t="shared" si="29"/>
        <v>1545.009</v>
      </c>
      <c r="S243" s="7" t="str">
        <f t="shared" si="24"/>
        <v>85-90</v>
      </c>
      <c r="T243" s="7" t="str">
        <f t="shared" si="25"/>
        <v>750-800</v>
      </c>
      <c r="U243" s="31">
        <f t="shared" si="26"/>
        <v>0.02</v>
      </c>
      <c r="V243" s="30">
        <f t="shared" si="27"/>
        <v>48825.678774350352</v>
      </c>
      <c r="W243" s="30">
        <f t="shared" si="28"/>
        <v>-5833.8784308013273</v>
      </c>
      <c r="X243" s="30">
        <f t="shared" si="30"/>
        <v>0</v>
      </c>
      <c r="Y243" s="30">
        <f t="shared" si="31"/>
        <v>0</v>
      </c>
    </row>
    <row r="244" spans="1:25" x14ac:dyDescent="0.15">
      <c r="A244" s="7">
        <v>1240</v>
      </c>
      <c r="B244" s="19">
        <v>45339</v>
      </c>
      <c r="C244" s="7">
        <v>360</v>
      </c>
      <c r="D244" s="19">
        <v>45747</v>
      </c>
      <c r="E244" s="7">
        <v>13</v>
      </c>
      <c r="F244" s="29">
        <v>137807</v>
      </c>
      <c r="G244" s="29">
        <v>127925.38123769595</v>
      </c>
      <c r="H244" s="29">
        <v>143548.95833333334</v>
      </c>
      <c r="I244" s="7">
        <v>96</v>
      </c>
      <c r="J244" s="7" t="s">
        <v>73</v>
      </c>
      <c r="K244" s="7">
        <v>622</v>
      </c>
      <c r="L244" s="7">
        <v>23</v>
      </c>
      <c r="M244" s="7" t="s">
        <v>59</v>
      </c>
      <c r="N244" s="10">
        <v>5.2400291525898812E-2</v>
      </c>
      <c r="O244" s="7">
        <v>0.3</v>
      </c>
      <c r="P244" s="7">
        <v>0.4</v>
      </c>
      <c r="R244" s="30">
        <f t="shared" si="29"/>
        <v>551.22800000000007</v>
      </c>
      <c r="S244" s="7" t="str">
        <f t="shared" si="24"/>
        <v>&gt; 95</v>
      </c>
      <c r="T244" s="7" t="str">
        <f t="shared" si="25"/>
        <v>&lt; 650</v>
      </c>
      <c r="U244" s="31">
        <f t="shared" si="26"/>
        <v>0.11</v>
      </c>
      <c r="V244" s="30">
        <f t="shared" si="27"/>
        <v>40296.495089874232</v>
      </c>
      <c r="W244" s="30">
        <f t="shared" si="28"/>
        <v>12305.035716247425</v>
      </c>
      <c r="X244" s="30">
        <f t="shared" si="30"/>
        <v>12305.035716247425</v>
      </c>
      <c r="Y244" s="30">
        <f t="shared" si="31"/>
        <v>1353.5539287872168</v>
      </c>
    </row>
    <row r="245" spans="1:25" x14ac:dyDescent="0.15">
      <c r="A245" s="7">
        <v>1241</v>
      </c>
      <c r="B245" s="19">
        <v>45299</v>
      </c>
      <c r="C245" s="7">
        <v>360</v>
      </c>
      <c r="D245" s="19">
        <v>45747</v>
      </c>
      <c r="E245" s="7">
        <v>14</v>
      </c>
      <c r="F245" s="29">
        <v>676897</v>
      </c>
      <c r="G245" s="29">
        <v>612490.29493064329</v>
      </c>
      <c r="H245" s="29">
        <v>796349.4117647059</v>
      </c>
      <c r="I245" s="7">
        <v>85</v>
      </c>
      <c r="J245" s="7" t="s">
        <v>66</v>
      </c>
      <c r="K245" s="7">
        <v>749</v>
      </c>
      <c r="L245" s="7">
        <v>0</v>
      </c>
      <c r="M245" s="7" t="s">
        <v>59</v>
      </c>
      <c r="N245" s="10">
        <v>7.2126148625220945E-2</v>
      </c>
      <c r="O245" s="7">
        <v>0.12</v>
      </c>
      <c r="P245" s="7">
        <v>0.27</v>
      </c>
      <c r="R245" s="30">
        <f t="shared" si="29"/>
        <v>1827.6219000000001</v>
      </c>
      <c r="S245" s="7" t="str">
        <f t="shared" si="24"/>
        <v>80-85</v>
      </c>
      <c r="T245" s="7" t="str">
        <f t="shared" si="25"/>
        <v>700-750</v>
      </c>
      <c r="U245" s="31">
        <f t="shared" si="26"/>
        <v>2.5000000000000001E-2</v>
      </c>
      <c r="V245" s="30">
        <f t="shared" si="27"/>
        <v>77173.777161261052</v>
      </c>
      <c r="W245" s="30">
        <f t="shared" si="28"/>
        <v>-33782.190322824521</v>
      </c>
      <c r="X245" s="30">
        <f t="shared" si="30"/>
        <v>0</v>
      </c>
      <c r="Y245" s="30">
        <f t="shared" si="31"/>
        <v>0</v>
      </c>
    </row>
    <row r="246" spans="1:25" x14ac:dyDescent="0.15">
      <c r="A246" s="7">
        <v>1242</v>
      </c>
      <c r="B246" s="19">
        <v>45330</v>
      </c>
      <c r="C246" s="7">
        <v>360</v>
      </c>
      <c r="D246" s="19">
        <v>45747</v>
      </c>
      <c r="E246" s="7">
        <v>13</v>
      </c>
      <c r="F246" s="29">
        <v>355049</v>
      </c>
      <c r="G246" s="29">
        <v>329487.65013941284</v>
      </c>
      <c r="H246" s="29">
        <v>385922.82608695648</v>
      </c>
      <c r="I246" s="7">
        <v>92</v>
      </c>
      <c r="J246" s="7" t="s">
        <v>62</v>
      </c>
      <c r="K246" s="7">
        <v>836</v>
      </c>
      <c r="L246" s="7">
        <v>9</v>
      </c>
      <c r="M246" s="7" t="s">
        <v>59</v>
      </c>
      <c r="N246" s="10">
        <v>5.2757384680535216E-2</v>
      </c>
      <c r="O246" s="7">
        <v>0.25</v>
      </c>
      <c r="P246" s="7">
        <v>0.28999999999999998</v>
      </c>
      <c r="R246" s="30">
        <f t="shared" si="29"/>
        <v>1029.6421</v>
      </c>
      <c r="S246" s="7" t="str">
        <f t="shared" si="24"/>
        <v>90-95</v>
      </c>
      <c r="T246" s="7" t="str">
        <f t="shared" si="25"/>
        <v>&gt; 800</v>
      </c>
      <c r="U246" s="31">
        <f t="shared" si="26"/>
        <v>0.04</v>
      </c>
      <c r="V246" s="30">
        <f t="shared" si="27"/>
        <v>86490.508161595877</v>
      </c>
      <c r="W246" s="30">
        <f t="shared" si="28"/>
        <v>17927.630472470482</v>
      </c>
      <c r="X246" s="30">
        <f t="shared" si="30"/>
        <v>17927.630472470482</v>
      </c>
      <c r="Y246" s="30">
        <f t="shared" si="31"/>
        <v>717.10521889881932</v>
      </c>
    </row>
    <row r="247" spans="1:25" x14ac:dyDescent="0.15">
      <c r="A247" s="7">
        <v>1243</v>
      </c>
      <c r="B247" s="19">
        <v>45386</v>
      </c>
      <c r="C247" s="7">
        <v>360</v>
      </c>
      <c r="D247" s="19">
        <v>45747</v>
      </c>
      <c r="E247" s="7">
        <v>11</v>
      </c>
      <c r="F247" s="29">
        <v>591562</v>
      </c>
      <c r="G247" s="29">
        <v>547166.53707297612</v>
      </c>
      <c r="H247" s="29">
        <v>629321.27659574477</v>
      </c>
      <c r="I247" s="7">
        <v>94</v>
      </c>
      <c r="J247" s="7" t="s">
        <v>60</v>
      </c>
      <c r="K247" s="7">
        <v>780</v>
      </c>
      <c r="L247" s="7">
        <v>40</v>
      </c>
      <c r="M247" s="7" t="s">
        <v>59</v>
      </c>
      <c r="N247" s="10">
        <v>7.2511352771020207E-2</v>
      </c>
      <c r="O247" s="7">
        <v>0.25</v>
      </c>
      <c r="P247" s="7">
        <v>0.39</v>
      </c>
      <c r="R247" s="30">
        <f t="shared" si="29"/>
        <v>2307.0918000000001</v>
      </c>
      <c r="S247" s="7" t="str">
        <f t="shared" si="24"/>
        <v>90-95</v>
      </c>
      <c r="T247" s="7" t="str">
        <f t="shared" si="25"/>
        <v>750-800</v>
      </c>
      <c r="U247" s="31">
        <f t="shared" si="26"/>
        <v>0.05</v>
      </c>
      <c r="V247" s="30">
        <f t="shared" si="27"/>
        <v>143631.21598165625</v>
      </c>
      <c r="W247" s="30">
        <f t="shared" si="28"/>
        <v>39601.778820241918</v>
      </c>
      <c r="X247" s="30">
        <f t="shared" si="30"/>
        <v>39601.778820241918</v>
      </c>
      <c r="Y247" s="30">
        <f t="shared" si="31"/>
        <v>1980.088941012096</v>
      </c>
    </row>
    <row r="248" spans="1:25" x14ac:dyDescent="0.15">
      <c r="A248" s="7">
        <v>1244</v>
      </c>
      <c r="B248" s="19">
        <v>45450</v>
      </c>
      <c r="C248" s="7">
        <v>360</v>
      </c>
      <c r="D248" s="19">
        <v>45747</v>
      </c>
      <c r="E248" s="7">
        <v>9</v>
      </c>
      <c r="F248" s="29">
        <v>624134</v>
      </c>
      <c r="G248" s="29">
        <v>586475.343944886</v>
      </c>
      <c r="H248" s="29">
        <v>743016.66666666674</v>
      </c>
      <c r="I248" s="7">
        <v>84</v>
      </c>
      <c r="J248" s="7" t="s">
        <v>68</v>
      </c>
      <c r="K248" s="7">
        <v>754</v>
      </c>
      <c r="L248" s="7">
        <v>8</v>
      </c>
      <c r="M248" s="7" t="s">
        <v>59</v>
      </c>
      <c r="N248" s="10">
        <v>7.0760254433221134E-2</v>
      </c>
      <c r="O248" s="7">
        <v>0.12</v>
      </c>
      <c r="P248" s="7">
        <v>0.22</v>
      </c>
      <c r="R248" s="30">
        <f t="shared" si="29"/>
        <v>1373.0948000000001</v>
      </c>
      <c r="S248" s="7" t="str">
        <f t="shared" si="24"/>
        <v>80-85</v>
      </c>
      <c r="T248" s="7" t="str">
        <f t="shared" si="25"/>
        <v>750-800</v>
      </c>
      <c r="U248" s="31">
        <f t="shared" si="26"/>
        <v>0.02</v>
      </c>
      <c r="V248" s="30">
        <f t="shared" si="27"/>
        <v>73895.893337055633</v>
      </c>
      <c r="W248" s="30">
        <f t="shared" si="28"/>
        <v>-15765.055524536408</v>
      </c>
      <c r="X248" s="30">
        <f t="shared" si="30"/>
        <v>0</v>
      </c>
      <c r="Y248" s="30">
        <f t="shared" si="31"/>
        <v>0</v>
      </c>
    </row>
    <row r="249" spans="1:25" x14ac:dyDescent="0.15">
      <c r="A249" s="7">
        <v>1245</v>
      </c>
      <c r="B249" s="19">
        <v>45467</v>
      </c>
      <c r="C249" s="7">
        <v>360</v>
      </c>
      <c r="D249" s="19">
        <v>45747</v>
      </c>
      <c r="E249" s="7">
        <v>9</v>
      </c>
      <c r="F249" s="29">
        <v>499774</v>
      </c>
      <c r="G249" s="29">
        <v>474243.00023032934</v>
      </c>
      <c r="H249" s="29">
        <v>561543.82022471912</v>
      </c>
      <c r="I249" s="7">
        <v>89</v>
      </c>
      <c r="J249" s="7" t="s">
        <v>61</v>
      </c>
      <c r="K249" s="7">
        <v>822</v>
      </c>
      <c r="L249" s="7">
        <v>11</v>
      </c>
      <c r="M249" s="7" t="s">
        <v>59</v>
      </c>
      <c r="N249" s="10">
        <v>5.497180446470927E-2</v>
      </c>
      <c r="O249" s="7">
        <v>0.12</v>
      </c>
      <c r="P249" s="7">
        <v>0.33</v>
      </c>
      <c r="R249" s="30">
        <f t="shared" si="29"/>
        <v>1649.2542000000001</v>
      </c>
      <c r="S249" s="7" t="str">
        <f t="shared" si="24"/>
        <v>85-90</v>
      </c>
      <c r="T249" s="7" t="str">
        <f t="shared" si="25"/>
        <v>&gt; 800</v>
      </c>
      <c r="U249" s="31">
        <f t="shared" si="26"/>
        <v>0.01</v>
      </c>
      <c r="V249" s="30">
        <f t="shared" si="27"/>
        <v>59754.618029021498</v>
      </c>
      <c r="W249" s="30">
        <f t="shared" si="28"/>
        <v>20642.903050834546</v>
      </c>
      <c r="X249" s="30">
        <f t="shared" si="30"/>
        <v>20642.903050834546</v>
      </c>
      <c r="Y249" s="30">
        <f t="shared" si="31"/>
        <v>206.42903050834548</v>
      </c>
    </row>
    <row r="250" spans="1:25" x14ac:dyDescent="0.15">
      <c r="A250" s="7">
        <v>1246</v>
      </c>
      <c r="B250" s="19">
        <v>45406</v>
      </c>
      <c r="C250" s="7">
        <v>360</v>
      </c>
      <c r="D250" s="19">
        <v>45747</v>
      </c>
      <c r="E250" s="7">
        <v>11</v>
      </c>
      <c r="F250" s="29">
        <v>282520</v>
      </c>
      <c r="G250" s="29">
        <v>263406.60069817578</v>
      </c>
      <c r="H250" s="29">
        <v>297389.47368421056</v>
      </c>
      <c r="I250" s="7">
        <v>95</v>
      </c>
      <c r="J250" s="7" t="s">
        <v>72</v>
      </c>
      <c r="K250" s="7">
        <v>848</v>
      </c>
      <c r="L250" s="7">
        <v>30</v>
      </c>
      <c r="M250" s="7" t="s">
        <v>59</v>
      </c>
      <c r="N250" s="10">
        <v>6.2394259206422331E-2</v>
      </c>
      <c r="O250" s="7">
        <v>0.3</v>
      </c>
      <c r="P250" s="7">
        <v>0.41</v>
      </c>
      <c r="R250" s="30">
        <f t="shared" si="29"/>
        <v>1158.3319999999999</v>
      </c>
      <c r="S250" s="7" t="str">
        <f t="shared" si="24"/>
        <v>90-95</v>
      </c>
      <c r="T250" s="7" t="str">
        <f t="shared" si="25"/>
        <v>&gt; 800</v>
      </c>
      <c r="U250" s="31">
        <f t="shared" si="26"/>
        <v>0.04</v>
      </c>
      <c r="V250" s="30">
        <f t="shared" si="27"/>
        <v>82973.079219925363</v>
      </c>
      <c r="W250" s="30">
        <f t="shared" si="28"/>
        <v>23795.878101505601</v>
      </c>
      <c r="X250" s="30">
        <f t="shared" si="30"/>
        <v>23795.878101505601</v>
      </c>
      <c r="Y250" s="30">
        <f t="shared" si="31"/>
        <v>951.83512406022408</v>
      </c>
    </row>
    <row r="251" spans="1:25" x14ac:dyDescent="0.15">
      <c r="A251" s="7">
        <v>1247</v>
      </c>
      <c r="B251" s="19">
        <v>45370</v>
      </c>
      <c r="C251" s="7">
        <v>360</v>
      </c>
      <c r="D251" s="19">
        <v>45747</v>
      </c>
      <c r="E251" s="7">
        <v>12</v>
      </c>
      <c r="F251" s="29">
        <v>502459</v>
      </c>
      <c r="G251" s="29">
        <v>465993.66931716562</v>
      </c>
      <c r="H251" s="29">
        <v>528904.21052631584</v>
      </c>
      <c r="I251" s="7">
        <v>95</v>
      </c>
      <c r="J251" s="7" t="s">
        <v>72</v>
      </c>
      <c r="K251" s="7">
        <v>818</v>
      </c>
      <c r="L251" s="7">
        <v>21</v>
      </c>
      <c r="M251" s="7" t="s">
        <v>59</v>
      </c>
      <c r="N251" s="10">
        <v>6.0812035152520628E-2</v>
      </c>
      <c r="O251" s="7">
        <v>0.3</v>
      </c>
      <c r="P251" s="7">
        <v>0.32</v>
      </c>
      <c r="R251" s="30">
        <f t="shared" si="29"/>
        <v>1607.8688</v>
      </c>
      <c r="S251" s="7" t="str">
        <f t="shared" si="24"/>
        <v>90-95</v>
      </c>
      <c r="T251" s="7" t="str">
        <f t="shared" si="25"/>
        <v>&gt; 800</v>
      </c>
      <c r="U251" s="31">
        <f t="shared" si="26"/>
        <v>0.04</v>
      </c>
      <c r="V251" s="30">
        <f t="shared" si="27"/>
        <v>146788.00583490718</v>
      </c>
      <c r="W251" s="30">
        <f t="shared" si="28"/>
        <v>39724.773835655476</v>
      </c>
      <c r="X251" s="30">
        <f t="shared" si="30"/>
        <v>39724.773835655476</v>
      </c>
      <c r="Y251" s="30">
        <f t="shared" si="31"/>
        <v>1588.990953426219</v>
      </c>
    </row>
    <row r="252" spans="1:25" x14ac:dyDescent="0.15">
      <c r="A252" s="7">
        <v>1248</v>
      </c>
      <c r="B252" s="19">
        <v>45358</v>
      </c>
      <c r="C252" s="7">
        <v>360</v>
      </c>
      <c r="D252" s="19">
        <v>45747</v>
      </c>
      <c r="E252" s="7">
        <v>12</v>
      </c>
      <c r="F252" s="29">
        <v>752245</v>
      </c>
      <c r="G252" s="29">
        <v>694114.74709182407</v>
      </c>
      <c r="H252" s="29">
        <v>783588.54166666674</v>
      </c>
      <c r="I252" s="7">
        <v>96</v>
      </c>
      <c r="J252" s="7" t="s">
        <v>61</v>
      </c>
      <c r="K252" s="7">
        <v>627</v>
      </c>
      <c r="L252" s="7">
        <v>9</v>
      </c>
      <c r="M252" s="7" t="s">
        <v>59</v>
      </c>
      <c r="N252" s="10">
        <v>6.6801841957601873E-2</v>
      </c>
      <c r="O252" s="7">
        <v>0.3</v>
      </c>
      <c r="P252" s="7">
        <v>0.41</v>
      </c>
      <c r="R252" s="30">
        <f t="shared" si="29"/>
        <v>3084.2044999999994</v>
      </c>
      <c r="S252" s="7" t="str">
        <f t="shared" si="24"/>
        <v>&gt; 95</v>
      </c>
      <c r="T252" s="7" t="str">
        <f t="shared" si="25"/>
        <v>&lt; 650</v>
      </c>
      <c r="U252" s="31">
        <f t="shared" si="26"/>
        <v>0.11</v>
      </c>
      <c r="V252" s="30">
        <f t="shared" si="27"/>
        <v>218646.14533392459</v>
      </c>
      <c r="W252" s="30">
        <f t="shared" si="28"/>
        <v>62770.224029748584</v>
      </c>
      <c r="X252" s="30">
        <f t="shared" si="30"/>
        <v>62770.224029748584</v>
      </c>
      <c r="Y252" s="30">
        <f t="shared" si="31"/>
        <v>6904.7246432723441</v>
      </c>
    </row>
    <row r="253" spans="1:25" x14ac:dyDescent="0.15">
      <c r="A253" s="7">
        <v>1249</v>
      </c>
      <c r="B253" s="19">
        <v>45313</v>
      </c>
      <c r="C253" s="7">
        <v>360</v>
      </c>
      <c r="D253" s="19">
        <v>45747</v>
      </c>
      <c r="E253" s="7">
        <v>14</v>
      </c>
      <c r="F253" s="29">
        <v>322703</v>
      </c>
      <c r="G253" s="29">
        <v>292544.36240048142</v>
      </c>
      <c r="H253" s="29">
        <v>388798.7951807229</v>
      </c>
      <c r="I253" s="7">
        <v>83</v>
      </c>
      <c r="J253" s="7" t="s">
        <v>67</v>
      </c>
      <c r="K253" s="7">
        <v>767</v>
      </c>
      <c r="L253" s="7">
        <v>37</v>
      </c>
      <c r="M253" s="7" t="s">
        <v>59</v>
      </c>
      <c r="N253" s="10">
        <v>7.0333712485642561E-2</v>
      </c>
      <c r="O253" s="7">
        <v>0.12</v>
      </c>
      <c r="P253" s="7">
        <v>0.45</v>
      </c>
      <c r="R253" s="30">
        <f t="shared" si="29"/>
        <v>1452.1635000000001</v>
      </c>
      <c r="S253" s="7" t="str">
        <f t="shared" si="24"/>
        <v>80-85</v>
      </c>
      <c r="T253" s="7" t="str">
        <f t="shared" si="25"/>
        <v>750-800</v>
      </c>
      <c r="U253" s="31">
        <f t="shared" si="26"/>
        <v>0.02</v>
      </c>
      <c r="V253" s="30">
        <f t="shared" si="27"/>
        <v>36860.589662460661</v>
      </c>
      <c r="W253" s="30">
        <f t="shared" si="28"/>
        <v>-23307.395383108989</v>
      </c>
      <c r="X253" s="30">
        <f t="shared" si="30"/>
        <v>0</v>
      </c>
      <c r="Y253" s="30">
        <f t="shared" si="31"/>
        <v>0</v>
      </c>
    </row>
    <row r="254" spans="1:25" x14ac:dyDescent="0.15">
      <c r="A254" s="7">
        <v>1250</v>
      </c>
      <c r="B254" s="19">
        <v>45427</v>
      </c>
      <c r="C254" s="7">
        <v>360</v>
      </c>
      <c r="D254" s="19">
        <v>45747</v>
      </c>
      <c r="E254" s="7">
        <v>10</v>
      </c>
      <c r="F254" s="29">
        <v>681875</v>
      </c>
      <c r="G254" s="29">
        <v>638329.13648165402</v>
      </c>
      <c r="H254" s="29">
        <v>811755.95238095243</v>
      </c>
      <c r="I254" s="7">
        <v>84</v>
      </c>
      <c r="J254" s="7" t="s">
        <v>71</v>
      </c>
      <c r="K254" s="7">
        <v>634</v>
      </c>
      <c r="L254" s="7">
        <v>13</v>
      </c>
      <c r="M254" s="7" t="s">
        <v>59</v>
      </c>
      <c r="N254" s="10">
        <v>6.5994039106359759E-2</v>
      </c>
      <c r="O254" s="7">
        <v>0.12</v>
      </c>
      <c r="P254" s="7">
        <v>0.31</v>
      </c>
      <c r="R254" s="30">
        <f t="shared" si="29"/>
        <v>2113.8125</v>
      </c>
      <c r="S254" s="7" t="str">
        <f t="shared" si="24"/>
        <v>80-85</v>
      </c>
      <c r="T254" s="7" t="str">
        <f t="shared" si="25"/>
        <v>&lt; 650</v>
      </c>
      <c r="U254" s="31">
        <f t="shared" si="26"/>
        <v>0.04</v>
      </c>
      <c r="V254" s="30">
        <f t="shared" si="27"/>
        <v>80429.471196688406</v>
      </c>
      <c r="W254" s="30">
        <f t="shared" si="28"/>
        <v>-19746.966218072805</v>
      </c>
      <c r="X254" s="30">
        <f t="shared" si="30"/>
        <v>0</v>
      </c>
      <c r="Y254" s="30">
        <f t="shared" si="31"/>
        <v>0</v>
      </c>
    </row>
    <row r="255" spans="1:25" x14ac:dyDescent="0.15">
      <c r="A255" s="7">
        <v>1251</v>
      </c>
      <c r="B255" s="19">
        <v>45447</v>
      </c>
      <c r="C255" s="7">
        <v>360</v>
      </c>
      <c r="D255" s="19">
        <v>45747</v>
      </c>
      <c r="E255" s="7">
        <v>9</v>
      </c>
      <c r="F255" s="29">
        <v>355258</v>
      </c>
      <c r="G255" s="29">
        <v>337560.79061259708</v>
      </c>
      <c r="H255" s="29">
        <v>390393.40659340657</v>
      </c>
      <c r="I255" s="7">
        <v>91</v>
      </c>
      <c r="J255" s="7" t="s">
        <v>74</v>
      </c>
      <c r="K255" s="7">
        <v>668</v>
      </c>
      <c r="L255" s="7">
        <v>2</v>
      </c>
      <c r="M255" s="7" t="s">
        <v>59</v>
      </c>
      <c r="N255" s="10">
        <v>5.2709337362232746E-2</v>
      </c>
      <c r="O255" s="7">
        <v>0.25</v>
      </c>
      <c r="P255" s="7">
        <v>0.35</v>
      </c>
      <c r="R255" s="30">
        <f t="shared" si="29"/>
        <v>1243.4029999999998</v>
      </c>
      <c r="S255" s="7" t="str">
        <f t="shared" si="24"/>
        <v>90-95</v>
      </c>
      <c r="T255" s="7" t="str">
        <f t="shared" si="25"/>
        <v>650-700</v>
      </c>
      <c r="U255" s="31">
        <f t="shared" si="26"/>
        <v>7.0000000000000007E-2</v>
      </c>
      <c r="V255" s="30">
        <f t="shared" si="27"/>
        <v>88609.707535806738</v>
      </c>
      <c r="W255" s="30">
        <f t="shared" si="28"/>
        <v>22604.434538831352</v>
      </c>
      <c r="X255" s="30">
        <f t="shared" si="30"/>
        <v>22604.434538831352</v>
      </c>
      <c r="Y255" s="30">
        <f t="shared" si="31"/>
        <v>1582.3104177181949</v>
      </c>
    </row>
    <row r="256" spans="1:25" x14ac:dyDescent="0.15">
      <c r="A256" s="7">
        <v>1252</v>
      </c>
      <c r="B256" s="19">
        <v>45322</v>
      </c>
      <c r="C256" s="7">
        <v>360</v>
      </c>
      <c r="D256" s="19">
        <v>45747</v>
      </c>
      <c r="E256" s="7">
        <v>14</v>
      </c>
      <c r="F256" s="29">
        <v>335516</v>
      </c>
      <c r="G256" s="29">
        <v>307204.6588126506</v>
      </c>
      <c r="H256" s="29">
        <v>376984.26966292132</v>
      </c>
      <c r="I256" s="7">
        <v>89</v>
      </c>
      <c r="J256" s="7" t="s">
        <v>70</v>
      </c>
      <c r="K256" s="7">
        <v>687</v>
      </c>
      <c r="L256" s="7">
        <v>5</v>
      </c>
      <c r="M256" s="7" t="s">
        <v>59</v>
      </c>
      <c r="N256" s="10">
        <v>6.0493181337401107E-2</v>
      </c>
      <c r="O256" s="7">
        <v>0.12</v>
      </c>
      <c r="P256" s="7">
        <v>0.4</v>
      </c>
      <c r="R256" s="30">
        <f t="shared" si="29"/>
        <v>1342.0639999999999</v>
      </c>
      <c r="S256" s="7" t="str">
        <f t="shared" si="24"/>
        <v>85-90</v>
      </c>
      <c r="T256" s="7" t="str">
        <f t="shared" si="25"/>
        <v>650-700</v>
      </c>
      <c r="U256" s="31">
        <f t="shared" si="26"/>
        <v>0.04</v>
      </c>
      <c r="V256" s="30">
        <f t="shared" si="27"/>
        <v>38707.787010393979</v>
      </c>
      <c r="W256" s="30">
        <f t="shared" si="28"/>
        <v>2128.2625398000237</v>
      </c>
      <c r="X256" s="30">
        <f t="shared" si="30"/>
        <v>2128.2625398000237</v>
      </c>
      <c r="Y256" s="30">
        <f t="shared" si="31"/>
        <v>85.130501592000954</v>
      </c>
    </row>
    <row r="257" spans="1:25" x14ac:dyDescent="0.15">
      <c r="A257" s="7">
        <v>1253</v>
      </c>
      <c r="B257" s="19">
        <v>45348</v>
      </c>
      <c r="C257" s="7">
        <v>360</v>
      </c>
      <c r="D257" s="19">
        <v>45747</v>
      </c>
      <c r="E257" s="7">
        <v>13</v>
      </c>
      <c r="F257" s="29">
        <v>126848</v>
      </c>
      <c r="G257" s="29">
        <v>117693.81311369715</v>
      </c>
      <c r="H257" s="29">
        <v>158560</v>
      </c>
      <c r="I257" s="7">
        <v>80</v>
      </c>
      <c r="J257" s="7" t="s">
        <v>73</v>
      </c>
      <c r="K257" s="7">
        <v>726</v>
      </c>
      <c r="L257" s="7">
        <v>35</v>
      </c>
      <c r="M257" s="7" t="s">
        <v>59</v>
      </c>
      <c r="N257" s="10">
        <v>5.2971482476714057E-2</v>
      </c>
      <c r="O257" s="7">
        <v>0.12</v>
      </c>
      <c r="P257" s="7">
        <v>0.2</v>
      </c>
      <c r="R257" s="30">
        <f t="shared" si="29"/>
        <v>253.69600000000003</v>
      </c>
      <c r="S257" s="7" t="str">
        <f t="shared" si="24"/>
        <v>80-85</v>
      </c>
      <c r="T257" s="7" t="str">
        <f t="shared" si="25"/>
        <v>700-750</v>
      </c>
      <c r="U257" s="31">
        <f t="shared" si="26"/>
        <v>2.5000000000000001E-2</v>
      </c>
      <c r="V257" s="30">
        <f t="shared" si="27"/>
        <v>14829.420452325841</v>
      </c>
      <c r="W257" s="30">
        <f t="shared" si="28"/>
        <v>-11197.49623061798</v>
      </c>
      <c r="X257" s="30">
        <f t="shared" si="30"/>
        <v>0</v>
      </c>
      <c r="Y257" s="30">
        <f t="shared" si="31"/>
        <v>0</v>
      </c>
    </row>
    <row r="258" spans="1:25" x14ac:dyDescent="0.15">
      <c r="A258" s="7">
        <v>1254</v>
      </c>
      <c r="B258" s="19">
        <v>45402</v>
      </c>
      <c r="C258" s="7">
        <v>360</v>
      </c>
      <c r="D258" s="19">
        <v>45747</v>
      </c>
      <c r="E258" s="7">
        <v>11</v>
      </c>
      <c r="F258" s="29">
        <v>199143</v>
      </c>
      <c r="G258" s="29">
        <v>184727.07338787438</v>
      </c>
      <c r="H258" s="29">
        <v>242857.31707317074</v>
      </c>
      <c r="I258" s="7">
        <v>82</v>
      </c>
      <c r="J258" s="7" t="s">
        <v>67</v>
      </c>
      <c r="K258" s="7">
        <v>630</v>
      </c>
      <c r="L258" s="7">
        <v>22</v>
      </c>
      <c r="M258" s="7" t="s">
        <v>59</v>
      </c>
      <c r="N258" s="10">
        <v>6.8923616249304875E-2</v>
      </c>
      <c r="O258" s="7">
        <v>0.12</v>
      </c>
      <c r="P258" s="7">
        <v>0.36</v>
      </c>
      <c r="R258" s="30">
        <f t="shared" si="29"/>
        <v>716.91480000000001</v>
      </c>
      <c r="S258" s="7" t="str">
        <f t="shared" si="24"/>
        <v>80-85</v>
      </c>
      <c r="T258" s="7" t="str">
        <f t="shared" si="25"/>
        <v>&lt; 650</v>
      </c>
      <c r="U258" s="31">
        <f t="shared" si="26"/>
        <v>0.04</v>
      </c>
      <c r="V258" s="30">
        <f t="shared" si="27"/>
        <v>23275.611246872169</v>
      </c>
      <c r="W258" s="30">
        <f t="shared" si="28"/>
        <v>-12465.292454927025</v>
      </c>
      <c r="X258" s="30">
        <f t="shared" si="30"/>
        <v>0</v>
      </c>
      <c r="Y258" s="30">
        <f t="shared" si="31"/>
        <v>0</v>
      </c>
    </row>
    <row r="259" spans="1:25" x14ac:dyDescent="0.15">
      <c r="A259" s="7">
        <v>1255</v>
      </c>
      <c r="B259" s="19">
        <v>45312</v>
      </c>
      <c r="C259" s="7">
        <v>360</v>
      </c>
      <c r="D259" s="19">
        <v>45747</v>
      </c>
      <c r="E259" s="7">
        <v>14</v>
      </c>
      <c r="F259" s="29">
        <v>513887</v>
      </c>
      <c r="G259" s="29">
        <v>466760.22803778475</v>
      </c>
      <c r="H259" s="29">
        <v>604572.9411764706</v>
      </c>
      <c r="I259" s="7">
        <v>85</v>
      </c>
      <c r="J259" s="7" t="s">
        <v>72</v>
      </c>
      <c r="K259" s="7">
        <v>732</v>
      </c>
      <c r="L259" s="7">
        <v>31</v>
      </c>
      <c r="M259" s="7" t="s">
        <v>59</v>
      </c>
      <c r="N259" s="10">
        <v>6.8468106910532803E-2</v>
      </c>
      <c r="O259" s="7">
        <v>0.12</v>
      </c>
      <c r="P259" s="7">
        <v>0.21</v>
      </c>
      <c r="R259" s="30">
        <f t="shared" si="29"/>
        <v>1079.1626999999999</v>
      </c>
      <c r="S259" s="7" t="str">
        <f t="shared" si="24"/>
        <v>80-85</v>
      </c>
      <c r="T259" s="7" t="str">
        <f t="shared" si="25"/>
        <v>700-750</v>
      </c>
      <c r="U259" s="31">
        <f t="shared" si="26"/>
        <v>2.5000000000000001E-2</v>
      </c>
      <c r="V259" s="30">
        <f t="shared" si="27"/>
        <v>58811.788732760877</v>
      </c>
      <c r="W259" s="30">
        <f t="shared" si="28"/>
        <v>-23788.760560325987</v>
      </c>
      <c r="X259" s="30">
        <f t="shared" si="30"/>
        <v>0</v>
      </c>
      <c r="Y259" s="30">
        <f t="shared" si="31"/>
        <v>0</v>
      </c>
    </row>
    <row r="260" spans="1:25" x14ac:dyDescent="0.15">
      <c r="A260" s="7">
        <v>1256</v>
      </c>
      <c r="B260" s="19">
        <v>45364</v>
      </c>
      <c r="C260" s="7">
        <v>360</v>
      </c>
      <c r="D260" s="19">
        <v>45747</v>
      </c>
      <c r="E260" s="7">
        <v>12</v>
      </c>
      <c r="F260" s="29">
        <v>570486</v>
      </c>
      <c r="G260" s="29">
        <v>521261.35776362231</v>
      </c>
      <c r="H260" s="29">
        <v>626907.69230769225</v>
      </c>
      <c r="I260" s="7">
        <v>91</v>
      </c>
      <c r="J260" s="7" t="s">
        <v>70</v>
      </c>
      <c r="K260" s="7">
        <v>772</v>
      </c>
      <c r="L260" s="7">
        <v>45</v>
      </c>
      <c r="M260" s="7" t="s">
        <v>59</v>
      </c>
      <c r="N260" s="10">
        <v>7.7880791021910728E-2</v>
      </c>
      <c r="O260" s="7">
        <v>0.25</v>
      </c>
      <c r="P260" s="7">
        <v>0.39</v>
      </c>
      <c r="R260" s="30">
        <f t="shared" si="29"/>
        <v>2224.8953999999999</v>
      </c>
      <c r="S260" s="7" t="str">
        <f t="shared" si="24"/>
        <v>90-95</v>
      </c>
      <c r="T260" s="7" t="str">
        <f t="shared" si="25"/>
        <v>750-800</v>
      </c>
      <c r="U260" s="31">
        <f t="shared" si="26"/>
        <v>0.05</v>
      </c>
      <c r="V260" s="30">
        <f t="shared" si="27"/>
        <v>136831.10641295087</v>
      </c>
      <c r="W260" s="30">
        <f t="shared" si="28"/>
        <v>14452.887190265115</v>
      </c>
      <c r="X260" s="30">
        <f t="shared" si="30"/>
        <v>14452.887190265115</v>
      </c>
      <c r="Y260" s="30">
        <f t="shared" si="31"/>
        <v>722.64435951325584</v>
      </c>
    </row>
    <row r="261" spans="1:25" x14ac:dyDescent="0.15">
      <c r="A261" s="7">
        <v>1257</v>
      </c>
      <c r="B261" s="19">
        <v>45364</v>
      </c>
      <c r="C261" s="7">
        <v>360</v>
      </c>
      <c r="D261" s="19">
        <v>45747</v>
      </c>
      <c r="E261" s="7">
        <v>12</v>
      </c>
      <c r="F261" s="29">
        <v>596499</v>
      </c>
      <c r="G261" s="29">
        <v>554021.83900832315</v>
      </c>
      <c r="H261" s="29">
        <v>710117.85714285716</v>
      </c>
      <c r="I261" s="7">
        <v>84</v>
      </c>
      <c r="J261" s="7" t="s">
        <v>71</v>
      </c>
      <c r="K261" s="7">
        <v>841</v>
      </c>
      <c r="L261" s="7">
        <v>18</v>
      </c>
      <c r="M261" s="7" t="s">
        <v>59</v>
      </c>
      <c r="N261" s="10">
        <v>5.9044798532846984E-2</v>
      </c>
      <c r="O261" s="7">
        <v>0.12</v>
      </c>
      <c r="P261" s="7">
        <v>0.24</v>
      </c>
      <c r="R261" s="30">
        <f t="shared" si="29"/>
        <v>1431.5975999999998</v>
      </c>
      <c r="S261" s="7" t="str">
        <f t="shared" ref="S261:S324" si="32">_xlfn.IFS(I261&lt;80,"&lt; 80",AND(I261&gt;=80,I261&lt;=85),"80-85",AND(I261&gt;85,I261&lt;=90),"85-90",AND(I261&gt;90,I261&lt;=95),"90-95",I261&gt;95,"&gt; 95")</f>
        <v>80-85</v>
      </c>
      <c r="T261" s="7" t="str">
        <f t="shared" ref="T261:T324" si="33">_xlfn.IFS(K261&lt;650,"&lt; 650",AND(K261&gt;=650,K261&lt;=700),"650-700",AND(K261&gt;700,K261&lt;=750),"700-750",AND(K261&gt;750,K261&lt;=800),"750-800",K261&gt;800,"&gt; 800")</f>
        <v>&gt; 800</v>
      </c>
      <c r="U261" s="31">
        <f t="shared" ref="U261:U324" si="34">INDEX(LTV_FICO_DefaultRates,MATCH(S261,LTV_DefaultTable,0),MATCH(T261,FICO_DefaultTabe,0))</f>
        <v>0.01</v>
      </c>
      <c r="V261" s="30">
        <f t="shared" ref="V261:V324" si="35">((G261*(1+Expense_Loading))*O261)</f>
        <v>69806.751715048726</v>
      </c>
      <c r="W261" s="30">
        <f t="shared" ref="W261:W324" si="36">(G261*(1+Expense_Loading))-(H261*(1+HPI_Movement))</f>
        <v>-21877.247612689156</v>
      </c>
      <c r="X261" s="30">
        <f t="shared" si="30"/>
        <v>0</v>
      </c>
      <c r="Y261" s="30">
        <f t="shared" si="31"/>
        <v>0</v>
      </c>
    </row>
    <row r="262" spans="1:25" x14ac:dyDescent="0.15">
      <c r="A262" s="7">
        <v>1258</v>
      </c>
      <c r="B262" s="19">
        <v>45403</v>
      </c>
      <c r="C262" s="7">
        <v>360</v>
      </c>
      <c r="D262" s="19">
        <v>45747</v>
      </c>
      <c r="E262" s="7">
        <v>11</v>
      </c>
      <c r="F262" s="29">
        <v>777526</v>
      </c>
      <c r="G262" s="29">
        <v>718724.07856591092</v>
      </c>
      <c r="H262" s="29">
        <v>809922.91666666674</v>
      </c>
      <c r="I262" s="7">
        <v>96</v>
      </c>
      <c r="J262" s="7" t="s">
        <v>63</v>
      </c>
      <c r="K262" s="7">
        <v>666</v>
      </c>
      <c r="L262" s="7">
        <v>24</v>
      </c>
      <c r="M262" s="7" t="s">
        <v>59</v>
      </c>
      <c r="N262" s="10">
        <v>7.3286313913839218E-2</v>
      </c>
      <c r="O262" s="7">
        <v>0.3</v>
      </c>
      <c r="P262" s="7">
        <v>0.42</v>
      </c>
      <c r="R262" s="30">
        <f t="shared" ref="R262:R325" si="37">P262*F262/100</f>
        <v>3265.6091999999999</v>
      </c>
      <c r="S262" s="7" t="str">
        <f t="shared" si="32"/>
        <v>&gt; 95</v>
      </c>
      <c r="T262" s="7" t="str">
        <f t="shared" si="33"/>
        <v>650-700</v>
      </c>
      <c r="U262" s="31">
        <f t="shared" si="34"/>
        <v>0.08</v>
      </c>
      <c r="V262" s="30">
        <f t="shared" si="35"/>
        <v>226398.08474826193</v>
      </c>
      <c r="W262" s="30">
        <f t="shared" si="36"/>
        <v>66225.803327539703</v>
      </c>
      <c r="X262" s="30">
        <f t="shared" ref="X262:X325" si="38">MAX(MIN(V262,W262),0)</f>
        <v>66225.803327539703</v>
      </c>
      <c r="Y262" s="30">
        <f t="shared" ref="Y262:Y325" si="39">X262*U262</f>
        <v>5298.064266203176</v>
      </c>
    </row>
    <row r="263" spans="1:25" x14ac:dyDescent="0.15">
      <c r="A263" s="7">
        <v>1259</v>
      </c>
      <c r="B263" s="19">
        <v>45337</v>
      </c>
      <c r="C263" s="7">
        <v>360</v>
      </c>
      <c r="D263" s="19">
        <v>45747</v>
      </c>
      <c r="E263" s="7">
        <v>13</v>
      </c>
      <c r="F263" s="29">
        <v>420291</v>
      </c>
      <c r="G263" s="29">
        <v>385825.20533246693</v>
      </c>
      <c r="H263" s="29">
        <v>518877.77777777775</v>
      </c>
      <c r="I263" s="7">
        <v>81</v>
      </c>
      <c r="J263" s="7" t="s">
        <v>66</v>
      </c>
      <c r="K263" s="7">
        <v>796</v>
      </c>
      <c r="L263" s="7">
        <v>16</v>
      </c>
      <c r="M263" s="7" t="s">
        <v>59</v>
      </c>
      <c r="N263" s="10">
        <v>6.4807808234053382E-2</v>
      </c>
      <c r="O263" s="7">
        <v>0.12</v>
      </c>
      <c r="P263" s="7">
        <v>0.28999999999999998</v>
      </c>
      <c r="R263" s="30">
        <f t="shared" si="37"/>
        <v>1218.8438999999998</v>
      </c>
      <c r="S263" s="7" t="str">
        <f t="shared" si="32"/>
        <v>80-85</v>
      </c>
      <c r="T263" s="7" t="str">
        <f t="shared" si="33"/>
        <v>750-800</v>
      </c>
      <c r="U263" s="31">
        <f t="shared" si="34"/>
        <v>0.02</v>
      </c>
      <c r="V263" s="30">
        <f t="shared" si="35"/>
        <v>48613.975871890827</v>
      </c>
      <c r="W263" s="30">
        <f t="shared" si="36"/>
        <v>-35929.645512020797</v>
      </c>
      <c r="X263" s="30">
        <f t="shared" si="38"/>
        <v>0</v>
      </c>
      <c r="Y263" s="30">
        <f t="shared" si="39"/>
        <v>0</v>
      </c>
    </row>
    <row r="264" spans="1:25" x14ac:dyDescent="0.15">
      <c r="A264" s="7">
        <v>1260</v>
      </c>
      <c r="B264" s="19">
        <v>45305</v>
      </c>
      <c r="C264" s="7">
        <v>360</v>
      </c>
      <c r="D264" s="19">
        <v>45747</v>
      </c>
      <c r="E264" s="7">
        <v>14</v>
      </c>
      <c r="F264" s="29">
        <v>667478</v>
      </c>
      <c r="G264" s="29">
        <v>606421.02318328212</v>
      </c>
      <c r="H264" s="29">
        <v>725519.56521739124</v>
      </c>
      <c r="I264" s="7">
        <v>92</v>
      </c>
      <c r="J264" s="7" t="s">
        <v>60</v>
      </c>
      <c r="K264" s="7">
        <v>754</v>
      </c>
      <c r="L264" s="7">
        <v>28</v>
      </c>
      <c r="M264" s="7" t="s">
        <v>59</v>
      </c>
      <c r="N264" s="10">
        <v>6.8219312375750601E-2</v>
      </c>
      <c r="O264" s="7">
        <v>0.25</v>
      </c>
      <c r="P264" s="7">
        <v>0.23</v>
      </c>
      <c r="R264" s="30">
        <f t="shared" si="37"/>
        <v>1535.1994</v>
      </c>
      <c r="S264" s="7" t="str">
        <f t="shared" si="32"/>
        <v>90-95</v>
      </c>
      <c r="T264" s="7" t="str">
        <f t="shared" si="33"/>
        <v>750-800</v>
      </c>
      <c r="U264" s="31">
        <f t="shared" si="34"/>
        <v>0.05</v>
      </c>
      <c r="V264" s="30">
        <f t="shared" si="35"/>
        <v>159185.51858561157</v>
      </c>
      <c r="W264" s="30">
        <f t="shared" si="36"/>
        <v>20050.443907663692</v>
      </c>
      <c r="X264" s="30">
        <f t="shared" si="38"/>
        <v>20050.443907663692</v>
      </c>
      <c r="Y264" s="30">
        <f t="shared" si="39"/>
        <v>1002.5221953831847</v>
      </c>
    </row>
    <row r="265" spans="1:25" x14ac:dyDescent="0.15">
      <c r="A265" s="7">
        <v>1261</v>
      </c>
      <c r="B265" s="19">
        <v>45439</v>
      </c>
      <c r="C265" s="7">
        <v>360</v>
      </c>
      <c r="D265" s="19">
        <v>45747</v>
      </c>
      <c r="E265" s="7">
        <v>10</v>
      </c>
      <c r="F265" s="29">
        <v>425120</v>
      </c>
      <c r="G265" s="29">
        <v>395195.83911486634</v>
      </c>
      <c r="H265" s="29">
        <v>472355.55555555556</v>
      </c>
      <c r="I265" s="7">
        <v>90</v>
      </c>
      <c r="J265" s="7" t="s">
        <v>67</v>
      </c>
      <c r="K265" s="7">
        <v>706</v>
      </c>
      <c r="L265" s="7">
        <v>24</v>
      </c>
      <c r="M265" s="7" t="s">
        <v>59</v>
      </c>
      <c r="N265" s="10">
        <v>7.5683269987275689E-2</v>
      </c>
      <c r="O265" s="7">
        <v>0.25</v>
      </c>
      <c r="P265" s="7">
        <v>0.3</v>
      </c>
      <c r="R265" s="30">
        <f t="shared" si="37"/>
        <v>1275.3599999999999</v>
      </c>
      <c r="S265" s="7" t="str">
        <f t="shared" si="32"/>
        <v>85-90</v>
      </c>
      <c r="T265" s="7" t="str">
        <f t="shared" si="33"/>
        <v>700-750</v>
      </c>
      <c r="U265" s="31">
        <f t="shared" si="34"/>
        <v>0.03</v>
      </c>
      <c r="V265" s="30">
        <f t="shared" si="35"/>
        <v>103738.90776765242</v>
      </c>
      <c r="W265" s="30">
        <f t="shared" si="36"/>
        <v>13453.40884838748</v>
      </c>
      <c r="X265" s="30">
        <f t="shared" si="38"/>
        <v>13453.40884838748</v>
      </c>
      <c r="Y265" s="30">
        <f t="shared" si="39"/>
        <v>403.60226545162442</v>
      </c>
    </row>
    <row r="266" spans="1:25" x14ac:dyDescent="0.15">
      <c r="A266" s="7">
        <v>1262</v>
      </c>
      <c r="B266" s="19">
        <v>45428</v>
      </c>
      <c r="C266" s="7">
        <v>360</v>
      </c>
      <c r="D266" s="19">
        <v>45747</v>
      </c>
      <c r="E266" s="7">
        <v>10</v>
      </c>
      <c r="F266" s="29">
        <v>574142</v>
      </c>
      <c r="G266" s="29">
        <v>542178.67245402653</v>
      </c>
      <c r="H266" s="29">
        <v>637935.5555555555</v>
      </c>
      <c r="I266" s="7">
        <v>90</v>
      </c>
      <c r="J266" s="7" t="s">
        <v>63</v>
      </c>
      <c r="K266" s="7">
        <v>669</v>
      </c>
      <c r="L266" s="7">
        <v>22</v>
      </c>
      <c r="M266" s="7" t="s">
        <v>59</v>
      </c>
      <c r="N266" s="10">
        <v>5.3226922079653634E-2</v>
      </c>
      <c r="O266" s="7">
        <v>0.25</v>
      </c>
      <c r="P266" s="7">
        <v>0.24</v>
      </c>
      <c r="R266" s="30">
        <f t="shared" si="37"/>
        <v>1377.9407999999999</v>
      </c>
      <c r="S266" s="7" t="str">
        <f t="shared" si="32"/>
        <v>85-90</v>
      </c>
      <c r="T266" s="7" t="str">
        <f t="shared" si="33"/>
        <v>650-700</v>
      </c>
      <c r="U266" s="31">
        <f t="shared" si="34"/>
        <v>0.04</v>
      </c>
      <c r="V266" s="30">
        <f t="shared" si="35"/>
        <v>142321.90151918196</v>
      </c>
      <c r="W266" s="30">
        <f t="shared" si="36"/>
        <v>27042.383854505722</v>
      </c>
      <c r="X266" s="30">
        <f t="shared" si="38"/>
        <v>27042.383854505722</v>
      </c>
      <c r="Y266" s="30">
        <f t="shared" si="39"/>
        <v>1081.6953541802288</v>
      </c>
    </row>
    <row r="267" spans="1:25" x14ac:dyDescent="0.15">
      <c r="A267" s="7">
        <v>1263</v>
      </c>
      <c r="B267" s="19">
        <v>45464</v>
      </c>
      <c r="C267" s="7">
        <v>360</v>
      </c>
      <c r="D267" s="19">
        <v>45747</v>
      </c>
      <c r="E267" s="7">
        <v>9</v>
      </c>
      <c r="F267" s="29">
        <v>677224</v>
      </c>
      <c r="G267" s="29">
        <v>635849.54110277514</v>
      </c>
      <c r="H267" s="29">
        <v>806219.04761904769</v>
      </c>
      <c r="I267" s="7">
        <v>84</v>
      </c>
      <c r="J267" s="7" t="s">
        <v>64</v>
      </c>
      <c r="K267" s="7">
        <v>798</v>
      </c>
      <c r="L267" s="7">
        <v>12</v>
      </c>
      <c r="M267" s="7" t="s">
        <v>59</v>
      </c>
      <c r="N267" s="10">
        <v>7.2005353556856791E-2</v>
      </c>
      <c r="O267" s="7">
        <v>0.12</v>
      </c>
      <c r="P267" s="7">
        <v>0.36</v>
      </c>
      <c r="R267" s="30">
        <f t="shared" si="37"/>
        <v>2438.0063999999998</v>
      </c>
      <c r="S267" s="7" t="str">
        <f t="shared" si="32"/>
        <v>80-85</v>
      </c>
      <c r="T267" s="7" t="str">
        <f t="shared" si="33"/>
        <v>750-800</v>
      </c>
      <c r="U267" s="31">
        <f t="shared" si="34"/>
        <v>0.02</v>
      </c>
      <c r="V267" s="30">
        <f t="shared" si="35"/>
        <v>80117.042178949676</v>
      </c>
      <c r="W267" s="30">
        <f t="shared" si="36"/>
        <v>-17644.1723182766</v>
      </c>
      <c r="X267" s="30">
        <f t="shared" si="38"/>
        <v>0</v>
      </c>
      <c r="Y267" s="30">
        <f t="shared" si="39"/>
        <v>0</v>
      </c>
    </row>
    <row r="268" spans="1:25" x14ac:dyDescent="0.15">
      <c r="A268" s="7">
        <v>1264</v>
      </c>
      <c r="B268" s="19">
        <v>45323</v>
      </c>
      <c r="C268" s="7">
        <v>360</v>
      </c>
      <c r="D268" s="19">
        <v>45747</v>
      </c>
      <c r="E268" s="7">
        <v>13</v>
      </c>
      <c r="F268" s="29">
        <v>270189</v>
      </c>
      <c r="G268" s="29">
        <v>250414.90286946905</v>
      </c>
      <c r="H268" s="29">
        <v>303583.14606741571</v>
      </c>
      <c r="I268" s="7">
        <v>89</v>
      </c>
      <c r="J268" s="7" t="s">
        <v>63</v>
      </c>
      <c r="K268" s="7">
        <v>702</v>
      </c>
      <c r="L268" s="7">
        <v>26</v>
      </c>
      <c r="M268" s="7" t="s">
        <v>59</v>
      </c>
      <c r="N268" s="10">
        <v>5.4230505654699883E-2</v>
      </c>
      <c r="O268" s="7">
        <v>0.12</v>
      </c>
      <c r="P268" s="7">
        <v>0.43</v>
      </c>
      <c r="R268" s="30">
        <f t="shared" si="37"/>
        <v>1161.8126999999999</v>
      </c>
      <c r="S268" s="7" t="str">
        <f t="shared" si="32"/>
        <v>85-90</v>
      </c>
      <c r="T268" s="7" t="str">
        <f t="shared" si="33"/>
        <v>700-750</v>
      </c>
      <c r="U268" s="31">
        <f t="shared" si="34"/>
        <v>0.03</v>
      </c>
      <c r="V268" s="30">
        <f t="shared" si="35"/>
        <v>31552.277761553101</v>
      </c>
      <c r="W268" s="30">
        <f t="shared" si="36"/>
        <v>4889.9738556391676</v>
      </c>
      <c r="X268" s="30">
        <f t="shared" si="38"/>
        <v>4889.9738556391676</v>
      </c>
      <c r="Y268" s="30">
        <f t="shared" si="39"/>
        <v>146.69921566917503</v>
      </c>
    </row>
    <row r="269" spans="1:25" x14ac:dyDescent="0.15">
      <c r="A269" s="7">
        <v>1265</v>
      </c>
      <c r="B269" s="19">
        <v>45316</v>
      </c>
      <c r="C269" s="7">
        <v>360</v>
      </c>
      <c r="D269" s="19">
        <v>45747</v>
      </c>
      <c r="E269" s="7">
        <v>14</v>
      </c>
      <c r="F269" s="29">
        <v>519624</v>
      </c>
      <c r="G269" s="29">
        <v>477407.6441780951</v>
      </c>
      <c r="H269" s="29">
        <v>633687.80487804883</v>
      </c>
      <c r="I269" s="7">
        <v>82</v>
      </c>
      <c r="J269" s="7" t="s">
        <v>62</v>
      </c>
      <c r="K269" s="7">
        <v>609</v>
      </c>
      <c r="L269" s="7">
        <v>16</v>
      </c>
      <c r="M269" s="7" t="s">
        <v>59</v>
      </c>
      <c r="N269" s="10">
        <v>5.6986457363000689E-2</v>
      </c>
      <c r="O269" s="7">
        <v>0.12</v>
      </c>
      <c r="P269" s="7">
        <v>0.3</v>
      </c>
      <c r="R269" s="30">
        <f t="shared" si="37"/>
        <v>1558.8719999999998</v>
      </c>
      <c r="S269" s="7" t="str">
        <f t="shared" si="32"/>
        <v>80-85</v>
      </c>
      <c r="T269" s="7" t="str">
        <f t="shared" si="33"/>
        <v>&lt; 650</v>
      </c>
      <c r="U269" s="31">
        <f t="shared" si="34"/>
        <v>0.04</v>
      </c>
      <c r="V269" s="30">
        <f t="shared" si="35"/>
        <v>60153.36316643998</v>
      </c>
      <c r="W269" s="30">
        <f t="shared" si="36"/>
        <v>-37356.607759341598</v>
      </c>
      <c r="X269" s="30">
        <f t="shared" si="38"/>
        <v>0</v>
      </c>
      <c r="Y269" s="30">
        <f t="shared" si="39"/>
        <v>0</v>
      </c>
    </row>
    <row r="270" spans="1:25" x14ac:dyDescent="0.15">
      <c r="A270" s="7">
        <v>1266</v>
      </c>
      <c r="B270" s="19">
        <v>45379</v>
      </c>
      <c r="C270" s="7">
        <v>360</v>
      </c>
      <c r="D270" s="19">
        <v>45747</v>
      </c>
      <c r="E270" s="7">
        <v>12</v>
      </c>
      <c r="F270" s="29">
        <v>576675</v>
      </c>
      <c r="G270" s="29">
        <v>529565.26578469516</v>
      </c>
      <c r="H270" s="29">
        <v>607026.31578947371</v>
      </c>
      <c r="I270" s="7">
        <v>95</v>
      </c>
      <c r="J270" s="7" t="s">
        <v>70</v>
      </c>
      <c r="K270" s="7">
        <v>751</v>
      </c>
      <c r="L270" s="7">
        <v>3</v>
      </c>
      <c r="M270" s="7" t="s">
        <v>59</v>
      </c>
      <c r="N270" s="10">
        <v>7.229209250311866E-2</v>
      </c>
      <c r="O270" s="7">
        <v>0.3</v>
      </c>
      <c r="P270" s="7">
        <v>0.45</v>
      </c>
      <c r="R270" s="30">
        <f t="shared" si="37"/>
        <v>2595.0374999999999</v>
      </c>
      <c r="S270" s="7" t="str">
        <f t="shared" si="32"/>
        <v>90-95</v>
      </c>
      <c r="T270" s="7" t="str">
        <f t="shared" si="33"/>
        <v>750-800</v>
      </c>
      <c r="U270" s="31">
        <f t="shared" si="34"/>
        <v>0.05</v>
      </c>
      <c r="V270" s="30">
        <f t="shared" si="35"/>
        <v>166813.058722179</v>
      </c>
      <c r="W270" s="30">
        <f t="shared" si="36"/>
        <v>40071.160652877355</v>
      </c>
      <c r="X270" s="30">
        <f t="shared" si="38"/>
        <v>40071.160652877355</v>
      </c>
      <c r="Y270" s="30">
        <f t="shared" si="39"/>
        <v>2003.5580326438678</v>
      </c>
    </row>
    <row r="271" spans="1:25" x14ac:dyDescent="0.15">
      <c r="A271" s="7">
        <v>1267</v>
      </c>
      <c r="B271" s="19">
        <v>45449</v>
      </c>
      <c r="C271" s="7">
        <v>360</v>
      </c>
      <c r="D271" s="19">
        <v>45747</v>
      </c>
      <c r="E271" s="7">
        <v>9</v>
      </c>
      <c r="F271" s="29">
        <v>472191</v>
      </c>
      <c r="G271" s="29">
        <v>441508.42665895878</v>
      </c>
      <c r="H271" s="29">
        <v>536580.68181818177</v>
      </c>
      <c r="I271" s="7">
        <v>88</v>
      </c>
      <c r="J271" s="7" t="s">
        <v>69</v>
      </c>
      <c r="K271" s="7">
        <v>734</v>
      </c>
      <c r="L271" s="7">
        <v>18</v>
      </c>
      <c r="M271" s="7" t="s">
        <v>59</v>
      </c>
      <c r="N271" s="10">
        <v>7.8306094089986289E-2</v>
      </c>
      <c r="O271" s="7">
        <v>0.12</v>
      </c>
      <c r="P271" s="7">
        <v>0.23</v>
      </c>
      <c r="R271" s="30">
        <f t="shared" si="37"/>
        <v>1086.0393000000001</v>
      </c>
      <c r="S271" s="7" t="str">
        <f t="shared" si="32"/>
        <v>85-90</v>
      </c>
      <c r="T271" s="7" t="str">
        <f t="shared" si="33"/>
        <v>700-750</v>
      </c>
      <c r="U271" s="31">
        <f t="shared" si="34"/>
        <v>0.03</v>
      </c>
      <c r="V271" s="30">
        <f t="shared" si="35"/>
        <v>55630.061759028809</v>
      </c>
      <c r="W271" s="30">
        <f t="shared" si="36"/>
        <v>7490.2684464522754</v>
      </c>
      <c r="X271" s="30">
        <f t="shared" si="38"/>
        <v>7490.2684464522754</v>
      </c>
      <c r="Y271" s="30">
        <f t="shared" si="39"/>
        <v>224.70805339356826</v>
      </c>
    </row>
    <row r="272" spans="1:25" x14ac:dyDescent="0.15">
      <c r="A272" s="7">
        <v>1268</v>
      </c>
      <c r="B272" s="19">
        <v>45414</v>
      </c>
      <c r="C272" s="7">
        <v>360</v>
      </c>
      <c r="D272" s="19">
        <v>45747</v>
      </c>
      <c r="E272" s="7">
        <v>10</v>
      </c>
      <c r="F272" s="29">
        <v>491487</v>
      </c>
      <c r="G272" s="29">
        <v>461393.3990214183</v>
      </c>
      <c r="H272" s="29">
        <v>558507.95454545459</v>
      </c>
      <c r="I272" s="7">
        <v>88</v>
      </c>
      <c r="J272" s="7" t="s">
        <v>72</v>
      </c>
      <c r="K272" s="7">
        <v>660</v>
      </c>
      <c r="L272" s="7">
        <v>4</v>
      </c>
      <c r="M272" s="7" t="s">
        <v>59</v>
      </c>
      <c r="N272" s="10">
        <v>6.1973493864713125E-2</v>
      </c>
      <c r="O272" s="7">
        <v>0.12</v>
      </c>
      <c r="P272" s="7">
        <v>0.3</v>
      </c>
      <c r="R272" s="30">
        <f t="shared" si="37"/>
        <v>1474.461</v>
      </c>
      <c r="S272" s="7" t="str">
        <f t="shared" si="32"/>
        <v>85-90</v>
      </c>
      <c r="T272" s="7" t="str">
        <f t="shared" si="33"/>
        <v>650-700</v>
      </c>
      <c r="U272" s="31">
        <f t="shared" si="34"/>
        <v>0.04</v>
      </c>
      <c r="V272" s="30">
        <f t="shared" si="35"/>
        <v>58135.568276698701</v>
      </c>
      <c r="W272" s="30">
        <f t="shared" si="36"/>
        <v>9731.3076088528032</v>
      </c>
      <c r="X272" s="30">
        <f t="shared" si="38"/>
        <v>9731.3076088528032</v>
      </c>
      <c r="Y272" s="30">
        <f t="shared" si="39"/>
        <v>389.25230435411214</v>
      </c>
    </row>
    <row r="273" spans="1:25" x14ac:dyDescent="0.15">
      <c r="A273" s="7">
        <v>1269</v>
      </c>
      <c r="B273" s="19">
        <v>45411</v>
      </c>
      <c r="C273" s="7">
        <v>360</v>
      </c>
      <c r="D273" s="19">
        <v>45747</v>
      </c>
      <c r="E273" s="7">
        <v>11</v>
      </c>
      <c r="F273" s="29">
        <v>756555</v>
      </c>
      <c r="G273" s="29">
        <v>705949.05651915714</v>
      </c>
      <c r="H273" s="29">
        <v>813500</v>
      </c>
      <c r="I273" s="7">
        <v>93</v>
      </c>
      <c r="J273" s="7" t="s">
        <v>71</v>
      </c>
      <c r="K273" s="7">
        <v>721</v>
      </c>
      <c r="L273" s="7">
        <v>38</v>
      </c>
      <c r="M273" s="7" t="s">
        <v>59</v>
      </c>
      <c r="N273" s="10">
        <v>6.1324232223888234E-2</v>
      </c>
      <c r="O273" s="7">
        <v>0.25</v>
      </c>
      <c r="P273" s="7">
        <v>0.27</v>
      </c>
      <c r="R273" s="30">
        <f t="shared" si="37"/>
        <v>2042.6985</v>
      </c>
      <c r="S273" s="7" t="str">
        <f t="shared" si="32"/>
        <v>90-95</v>
      </c>
      <c r="T273" s="7" t="str">
        <f t="shared" si="33"/>
        <v>700-750</v>
      </c>
      <c r="U273" s="31">
        <f t="shared" si="34"/>
        <v>0.06</v>
      </c>
      <c r="V273" s="30">
        <f t="shared" si="35"/>
        <v>185311.62733627876</v>
      </c>
      <c r="W273" s="30">
        <f t="shared" si="36"/>
        <v>49771.509345115046</v>
      </c>
      <c r="X273" s="30">
        <f t="shared" si="38"/>
        <v>49771.509345115046</v>
      </c>
      <c r="Y273" s="30">
        <f t="shared" si="39"/>
        <v>2986.2905607069029</v>
      </c>
    </row>
    <row r="274" spans="1:25" x14ac:dyDescent="0.15">
      <c r="A274" s="7">
        <v>1270</v>
      </c>
      <c r="B274" s="19">
        <v>45297</v>
      </c>
      <c r="C274" s="7">
        <v>360</v>
      </c>
      <c r="D274" s="19">
        <v>45747</v>
      </c>
      <c r="E274" s="7">
        <v>14</v>
      </c>
      <c r="F274" s="29">
        <v>743107</v>
      </c>
      <c r="G274" s="29">
        <v>669210.38667091879</v>
      </c>
      <c r="H274" s="29">
        <v>825674.44444444438</v>
      </c>
      <c r="I274" s="7">
        <v>90</v>
      </c>
      <c r="J274" s="7" t="s">
        <v>69</v>
      </c>
      <c r="K274" s="7">
        <v>801</v>
      </c>
      <c r="L274" s="7">
        <v>41</v>
      </c>
      <c r="M274" s="7" t="s">
        <v>59</v>
      </c>
      <c r="N274" s="10">
        <v>7.6614874180402831E-2</v>
      </c>
      <c r="O274" s="7">
        <v>0.25</v>
      </c>
      <c r="P274" s="7">
        <v>0.23</v>
      </c>
      <c r="R274" s="30">
        <f t="shared" si="37"/>
        <v>1709.1461000000002</v>
      </c>
      <c r="S274" s="7" t="str">
        <f t="shared" si="32"/>
        <v>85-90</v>
      </c>
      <c r="T274" s="7" t="str">
        <f t="shared" si="33"/>
        <v>&gt; 800</v>
      </c>
      <c r="U274" s="31">
        <f t="shared" si="34"/>
        <v>0.01</v>
      </c>
      <c r="V274" s="30">
        <f t="shared" si="35"/>
        <v>175667.72650111618</v>
      </c>
      <c r="W274" s="30">
        <f t="shared" si="36"/>
        <v>847.62822668696754</v>
      </c>
      <c r="X274" s="30">
        <f t="shared" si="38"/>
        <v>847.62822668696754</v>
      </c>
      <c r="Y274" s="30">
        <f t="shared" si="39"/>
        <v>8.476282266869676</v>
      </c>
    </row>
    <row r="275" spans="1:25" x14ac:dyDescent="0.15">
      <c r="A275" s="7">
        <v>1271</v>
      </c>
      <c r="B275" s="19">
        <v>45351</v>
      </c>
      <c r="C275" s="7">
        <v>360</v>
      </c>
      <c r="D275" s="19">
        <v>45747</v>
      </c>
      <c r="E275" s="7">
        <v>13</v>
      </c>
      <c r="F275" s="29">
        <v>311905</v>
      </c>
      <c r="G275" s="29">
        <v>286088.68908476463</v>
      </c>
      <c r="H275" s="29">
        <v>362680.23255813954</v>
      </c>
      <c r="I275" s="7">
        <v>86</v>
      </c>
      <c r="J275" s="7" t="s">
        <v>72</v>
      </c>
      <c r="K275" s="7">
        <v>794</v>
      </c>
      <c r="L275" s="7">
        <v>21</v>
      </c>
      <c r="M275" s="7" t="s">
        <v>59</v>
      </c>
      <c r="N275" s="10">
        <v>6.5701833483591945E-2</v>
      </c>
      <c r="O275" s="7">
        <v>0.12</v>
      </c>
      <c r="P275" s="7">
        <v>0.24</v>
      </c>
      <c r="R275" s="30">
        <f t="shared" si="37"/>
        <v>748.572</v>
      </c>
      <c r="S275" s="7" t="str">
        <f t="shared" si="32"/>
        <v>85-90</v>
      </c>
      <c r="T275" s="7" t="str">
        <f t="shared" si="33"/>
        <v>750-800</v>
      </c>
      <c r="U275" s="31">
        <f t="shared" si="34"/>
        <v>0.02</v>
      </c>
      <c r="V275" s="30">
        <f t="shared" si="35"/>
        <v>36047.17482468034</v>
      </c>
      <c r="W275" s="30">
        <f t="shared" si="36"/>
        <v>-7885.0741354157799</v>
      </c>
      <c r="X275" s="30">
        <f t="shared" si="38"/>
        <v>0</v>
      </c>
      <c r="Y275" s="30">
        <f t="shared" si="39"/>
        <v>0</v>
      </c>
    </row>
    <row r="276" spans="1:25" x14ac:dyDescent="0.15">
      <c r="A276" s="7">
        <v>1272</v>
      </c>
      <c r="B276" s="19">
        <v>45369</v>
      </c>
      <c r="C276" s="7">
        <v>360</v>
      </c>
      <c r="D276" s="19">
        <v>45747</v>
      </c>
      <c r="E276" s="7">
        <v>12</v>
      </c>
      <c r="F276" s="29">
        <v>133350</v>
      </c>
      <c r="G276" s="29">
        <v>121949.20581305398</v>
      </c>
      <c r="H276" s="29">
        <v>164629.62962962961</v>
      </c>
      <c r="I276" s="7">
        <v>81</v>
      </c>
      <c r="J276" s="7" t="s">
        <v>67</v>
      </c>
      <c r="K276" s="7">
        <v>828</v>
      </c>
      <c r="L276" s="7">
        <v>24</v>
      </c>
      <c r="M276" s="7" t="s">
        <v>59</v>
      </c>
      <c r="N276" s="10">
        <v>7.692756380773752E-2</v>
      </c>
      <c r="O276" s="7">
        <v>0.12</v>
      </c>
      <c r="P276" s="7">
        <v>0.28000000000000003</v>
      </c>
      <c r="R276" s="30">
        <f t="shared" si="37"/>
        <v>373.38</v>
      </c>
      <c r="S276" s="7" t="str">
        <f t="shared" si="32"/>
        <v>80-85</v>
      </c>
      <c r="T276" s="7" t="str">
        <f t="shared" si="33"/>
        <v>&gt; 800</v>
      </c>
      <c r="U276" s="31">
        <f t="shared" si="34"/>
        <v>0.01</v>
      </c>
      <c r="V276" s="30">
        <f t="shared" si="35"/>
        <v>15365.5999324448</v>
      </c>
      <c r="W276" s="30">
        <f t="shared" si="36"/>
        <v>-11888.519081478487</v>
      </c>
      <c r="X276" s="30">
        <f t="shared" si="38"/>
        <v>0</v>
      </c>
      <c r="Y276" s="30">
        <f t="shared" si="39"/>
        <v>0</v>
      </c>
    </row>
    <row r="277" spans="1:25" x14ac:dyDescent="0.15">
      <c r="A277" s="7">
        <v>1273</v>
      </c>
      <c r="B277" s="19">
        <v>45396</v>
      </c>
      <c r="C277" s="7">
        <v>360</v>
      </c>
      <c r="D277" s="19">
        <v>45747</v>
      </c>
      <c r="E277" s="7">
        <v>11</v>
      </c>
      <c r="F277" s="29">
        <v>616667</v>
      </c>
      <c r="G277" s="29">
        <v>577790.78364589915</v>
      </c>
      <c r="H277" s="29">
        <v>717054.65116279072</v>
      </c>
      <c r="I277" s="7">
        <v>86</v>
      </c>
      <c r="J277" s="7" t="s">
        <v>71</v>
      </c>
      <c r="K277" s="7">
        <v>720</v>
      </c>
      <c r="L277" s="7">
        <v>9</v>
      </c>
      <c r="M277" s="7" t="s">
        <v>59</v>
      </c>
      <c r="N277" s="10">
        <v>5.5846821854246761E-2</v>
      </c>
      <c r="O277" s="7">
        <v>0.12</v>
      </c>
      <c r="P277" s="7">
        <v>0.34</v>
      </c>
      <c r="R277" s="30">
        <f t="shared" si="37"/>
        <v>2096.6678000000002</v>
      </c>
      <c r="S277" s="7" t="str">
        <f t="shared" si="32"/>
        <v>85-90</v>
      </c>
      <c r="T277" s="7" t="str">
        <f t="shared" si="33"/>
        <v>700-750</v>
      </c>
      <c r="U277" s="31">
        <f t="shared" si="34"/>
        <v>0.03</v>
      </c>
      <c r="V277" s="30">
        <f t="shared" si="35"/>
        <v>72801.638739383299</v>
      </c>
      <c r="W277" s="30">
        <f t="shared" si="36"/>
        <v>-2816.1306601780234</v>
      </c>
      <c r="X277" s="30">
        <f t="shared" si="38"/>
        <v>0</v>
      </c>
      <c r="Y277" s="30">
        <f t="shared" si="39"/>
        <v>0</v>
      </c>
    </row>
    <row r="278" spans="1:25" x14ac:dyDescent="0.15">
      <c r="A278" s="7">
        <v>1274</v>
      </c>
      <c r="B278" s="19">
        <v>45376</v>
      </c>
      <c r="C278" s="7">
        <v>360</v>
      </c>
      <c r="D278" s="19">
        <v>45747</v>
      </c>
      <c r="E278" s="7">
        <v>12</v>
      </c>
      <c r="F278" s="29">
        <v>485100</v>
      </c>
      <c r="G278" s="29">
        <v>447707.10245257767</v>
      </c>
      <c r="H278" s="29">
        <v>606375</v>
      </c>
      <c r="I278" s="7">
        <v>80</v>
      </c>
      <c r="J278" s="7" t="s">
        <v>74</v>
      </c>
      <c r="K278" s="7">
        <v>808</v>
      </c>
      <c r="L278" s="7">
        <v>8</v>
      </c>
      <c r="M278" s="7" t="s">
        <v>59</v>
      </c>
      <c r="N278" s="10">
        <v>6.6559264535806656E-2</v>
      </c>
      <c r="O278" s="7">
        <v>0.12</v>
      </c>
      <c r="P278" s="7">
        <v>0.32</v>
      </c>
      <c r="R278" s="30">
        <f t="shared" si="37"/>
        <v>1552.32</v>
      </c>
      <c r="S278" s="7" t="str">
        <f t="shared" si="32"/>
        <v>80-85</v>
      </c>
      <c r="T278" s="7" t="str">
        <f t="shared" si="33"/>
        <v>&gt; 800</v>
      </c>
      <c r="U278" s="31">
        <f t="shared" si="34"/>
        <v>0.01</v>
      </c>
      <c r="V278" s="30">
        <f t="shared" si="35"/>
        <v>56411.094909024789</v>
      </c>
      <c r="W278" s="30">
        <f t="shared" si="36"/>
        <v>-45326.292424793413</v>
      </c>
      <c r="X278" s="30">
        <f t="shared" si="38"/>
        <v>0</v>
      </c>
      <c r="Y278" s="30">
        <f t="shared" si="39"/>
        <v>0</v>
      </c>
    </row>
    <row r="279" spans="1:25" x14ac:dyDescent="0.15">
      <c r="A279" s="7">
        <v>1275</v>
      </c>
      <c r="B279" s="19">
        <v>45412</v>
      </c>
      <c r="C279" s="7">
        <v>360</v>
      </c>
      <c r="D279" s="19">
        <v>45747</v>
      </c>
      <c r="E279" s="7">
        <v>11</v>
      </c>
      <c r="F279" s="29">
        <v>781207</v>
      </c>
      <c r="G279" s="29">
        <v>722819.33520022186</v>
      </c>
      <c r="H279" s="29">
        <v>941213.2530120482</v>
      </c>
      <c r="I279" s="7">
        <v>83</v>
      </c>
      <c r="J279" s="7" t="s">
        <v>63</v>
      </c>
      <c r="K279" s="7">
        <v>710</v>
      </c>
      <c r="L279" s="7">
        <v>39</v>
      </c>
      <c r="M279" s="7" t="s">
        <v>59</v>
      </c>
      <c r="N279" s="10">
        <v>7.2098848427580534E-2</v>
      </c>
      <c r="O279" s="7">
        <v>0.12</v>
      </c>
      <c r="P279" s="7">
        <v>0.44</v>
      </c>
      <c r="R279" s="30">
        <f t="shared" si="37"/>
        <v>3437.3108000000002</v>
      </c>
      <c r="S279" s="7" t="str">
        <f t="shared" si="32"/>
        <v>80-85</v>
      </c>
      <c r="T279" s="7" t="str">
        <f t="shared" si="33"/>
        <v>700-750</v>
      </c>
      <c r="U279" s="31">
        <f t="shared" si="34"/>
        <v>2.5000000000000001E-2</v>
      </c>
      <c r="V279" s="30">
        <f t="shared" si="35"/>
        <v>91075.23623522796</v>
      </c>
      <c r="W279" s="30">
        <f t="shared" si="36"/>
        <v>-41070.963100007968</v>
      </c>
      <c r="X279" s="30">
        <f t="shared" si="38"/>
        <v>0</v>
      </c>
      <c r="Y279" s="30">
        <f t="shared" si="39"/>
        <v>0</v>
      </c>
    </row>
    <row r="280" spans="1:25" x14ac:dyDescent="0.15">
      <c r="A280" s="7">
        <v>1276</v>
      </c>
      <c r="B280" s="19">
        <v>45373</v>
      </c>
      <c r="C280" s="7">
        <v>360</v>
      </c>
      <c r="D280" s="19">
        <v>45747</v>
      </c>
      <c r="E280" s="7">
        <v>12</v>
      </c>
      <c r="F280" s="29">
        <v>343601</v>
      </c>
      <c r="G280" s="29">
        <v>319357.50180476456</v>
      </c>
      <c r="H280" s="29">
        <v>361685.26315789478</v>
      </c>
      <c r="I280" s="7">
        <v>95</v>
      </c>
      <c r="J280" s="7" t="s">
        <v>70</v>
      </c>
      <c r="K280" s="7">
        <v>788</v>
      </c>
      <c r="L280" s="7">
        <v>26</v>
      </c>
      <c r="M280" s="7" t="s">
        <v>59</v>
      </c>
      <c r="N280" s="10">
        <v>5.8191960682383491E-2</v>
      </c>
      <c r="O280" s="7">
        <v>0.3</v>
      </c>
      <c r="P280" s="7">
        <v>0.33</v>
      </c>
      <c r="R280" s="30">
        <f t="shared" si="37"/>
        <v>1133.8833</v>
      </c>
      <c r="S280" s="7" t="str">
        <f t="shared" si="32"/>
        <v>90-95</v>
      </c>
      <c r="T280" s="7" t="str">
        <f t="shared" si="33"/>
        <v>750-800</v>
      </c>
      <c r="U280" s="31">
        <f t="shared" si="34"/>
        <v>0.05</v>
      </c>
      <c r="V280" s="30">
        <f t="shared" si="35"/>
        <v>100597.61306850084</v>
      </c>
      <c r="W280" s="30">
        <f t="shared" si="36"/>
        <v>27892.903210792225</v>
      </c>
      <c r="X280" s="30">
        <f t="shared" si="38"/>
        <v>27892.903210792225</v>
      </c>
      <c r="Y280" s="30">
        <f t="shared" si="39"/>
        <v>1394.6451605396114</v>
      </c>
    </row>
    <row r="281" spans="1:25" x14ac:dyDescent="0.15">
      <c r="A281" s="7">
        <v>1277</v>
      </c>
      <c r="B281" s="19">
        <v>45302</v>
      </c>
      <c r="C281" s="7">
        <v>360</v>
      </c>
      <c r="D281" s="19">
        <v>45747</v>
      </c>
      <c r="E281" s="7">
        <v>14</v>
      </c>
      <c r="F281" s="29">
        <v>574546</v>
      </c>
      <c r="G281" s="29">
        <v>520124.75595687487</v>
      </c>
      <c r="H281" s="29">
        <v>645557.30337078648</v>
      </c>
      <c r="I281" s="7">
        <v>89</v>
      </c>
      <c r="J281" s="7" t="s">
        <v>70</v>
      </c>
      <c r="K281" s="7">
        <v>630</v>
      </c>
      <c r="L281" s="7">
        <v>42</v>
      </c>
      <c r="M281" s="7" t="s">
        <v>59</v>
      </c>
      <c r="N281" s="10">
        <v>7.1672779692376579E-2</v>
      </c>
      <c r="O281" s="7">
        <v>0.12</v>
      </c>
      <c r="P281" s="7">
        <v>0.25</v>
      </c>
      <c r="R281" s="30">
        <f t="shared" si="37"/>
        <v>1436.365</v>
      </c>
      <c r="S281" s="7" t="str">
        <f t="shared" si="32"/>
        <v>85-90</v>
      </c>
      <c r="T281" s="7" t="str">
        <f t="shared" si="33"/>
        <v>&lt; 650</v>
      </c>
      <c r="U281" s="31">
        <f t="shared" si="34"/>
        <v>0.05</v>
      </c>
      <c r="V281" s="30">
        <f t="shared" si="35"/>
        <v>65535.719250566239</v>
      </c>
      <c r="W281" s="30">
        <f t="shared" si="36"/>
        <v>-2592.7141104497714</v>
      </c>
      <c r="X281" s="30">
        <f t="shared" si="38"/>
        <v>0</v>
      </c>
      <c r="Y281" s="30">
        <f t="shared" si="39"/>
        <v>0</v>
      </c>
    </row>
    <row r="282" spans="1:25" x14ac:dyDescent="0.15">
      <c r="A282" s="7">
        <v>1278</v>
      </c>
      <c r="B282" s="19">
        <v>45349</v>
      </c>
      <c r="C282" s="7">
        <v>360</v>
      </c>
      <c r="D282" s="19">
        <v>45747</v>
      </c>
      <c r="E282" s="7">
        <v>13</v>
      </c>
      <c r="F282" s="29">
        <v>712429</v>
      </c>
      <c r="G282" s="29">
        <v>648196.05502745416</v>
      </c>
      <c r="H282" s="29">
        <v>774379.34782608692</v>
      </c>
      <c r="I282" s="7">
        <v>92</v>
      </c>
      <c r="J282" s="7" t="s">
        <v>68</v>
      </c>
      <c r="K282" s="7">
        <v>747</v>
      </c>
      <c r="L282" s="7">
        <v>12</v>
      </c>
      <c r="M282" s="7" t="s">
        <v>59</v>
      </c>
      <c r="N282" s="10">
        <v>7.4170339072340039E-2</v>
      </c>
      <c r="O282" s="7">
        <v>0.25</v>
      </c>
      <c r="P282" s="7">
        <v>0.33</v>
      </c>
      <c r="R282" s="30">
        <f t="shared" si="37"/>
        <v>2351.0156999999999</v>
      </c>
      <c r="S282" s="7" t="str">
        <f t="shared" si="32"/>
        <v>90-95</v>
      </c>
      <c r="T282" s="7" t="str">
        <f t="shared" si="33"/>
        <v>700-750</v>
      </c>
      <c r="U282" s="31">
        <f t="shared" si="34"/>
        <v>0.06</v>
      </c>
      <c r="V282" s="30">
        <f t="shared" si="35"/>
        <v>170151.46444470671</v>
      </c>
      <c r="W282" s="30">
        <f t="shared" si="36"/>
        <v>22383.412126653013</v>
      </c>
      <c r="X282" s="30">
        <f t="shared" si="38"/>
        <v>22383.412126653013</v>
      </c>
      <c r="Y282" s="30">
        <f t="shared" si="39"/>
        <v>1343.0047275991808</v>
      </c>
    </row>
    <row r="283" spans="1:25" x14ac:dyDescent="0.15">
      <c r="A283" s="7">
        <v>1279</v>
      </c>
      <c r="B283" s="19">
        <v>45445</v>
      </c>
      <c r="C283" s="7">
        <v>360</v>
      </c>
      <c r="D283" s="19">
        <v>45747</v>
      </c>
      <c r="E283" s="7">
        <v>9</v>
      </c>
      <c r="F283" s="29">
        <v>416943</v>
      </c>
      <c r="G283" s="29">
        <v>395171.64647497458</v>
      </c>
      <c r="H283" s="29">
        <v>448325.80645161285</v>
      </c>
      <c r="I283" s="7">
        <v>93</v>
      </c>
      <c r="J283" s="7" t="s">
        <v>64</v>
      </c>
      <c r="K283" s="7">
        <v>850</v>
      </c>
      <c r="L283" s="7">
        <v>28</v>
      </c>
      <c r="M283" s="7" t="s">
        <v>59</v>
      </c>
      <c r="N283" s="10">
        <v>5.6965946969636964E-2</v>
      </c>
      <c r="O283" s="7">
        <v>0.25</v>
      </c>
      <c r="P283" s="7">
        <v>0.27</v>
      </c>
      <c r="R283" s="30">
        <f t="shared" si="37"/>
        <v>1125.7461000000001</v>
      </c>
      <c r="S283" s="7" t="str">
        <f t="shared" si="32"/>
        <v>90-95</v>
      </c>
      <c r="T283" s="7" t="str">
        <f t="shared" si="33"/>
        <v>&gt; 800</v>
      </c>
      <c r="U283" s="31">
        <f t="shared" si="34"/>
        <v>0.04</v>
      </c>
      <c r="V283" s="30">
        <f t="shared" si="35"/>
        <v>103732.55719968083</v>
      </c>
      <c r="W283" s="30">
        <f t="shared" si="36"/>
        <v>33853.293314852403</v>
      </c>
      <c r="X283" s="30">
        <f t="shared" si="38"/>
        <v>33853.293314852403</v>
      </c>
      <c r="Y283" s="30">
        <f t="shared" si="39"/>
        <v>1354.1317325940961</v>
      </c>
    </row>
    <row r="284" spans="1:25" x14ac:dyDescent="0.15">
      <c r="A284" s="7">
        <v>1280</v>
      </c>
      <c r="B284" s="19">
        <v>45337</v>
      </c>
      <c r="C284" s="7">
        <v>360</v>
      </c>
      <c r="D284" s="19">
        <v>45747</v>
      </c>
      <c r="E284" s="7">
        <v>13</v>
      </c>
      <c r="F284" s="29">
        <v>115459</v>
      </c>
      <c r="G284" s="29">
        <v>104461.18723857155</v>
      </c>
      <c r="H284" s="29">
        <v>124149.46236559139</v>
      </c>
      <c r="I284" s="7">
        <v>93</v>
      </c>
      <c r="J284" s="7" t="s">
        <v>67</v>
      </c>
      <c r="K284" s="7">
        <v>803</v>
      </c>
      <c r="L284" s="7">
        <v>47</v>
      </c>
      <c r="M284" s="7" t="s">
        <v>59</v>
      </c>
      <c r="N284" s="10">
        <v>7.9849425391023979E-2</v>
      </c>
      <c r="O284" s="7">
        <v>0.25</v>
      </c>
      <c r="P284" s="7">
        <v>0.25</v>
      </c>
      <c r="R284" s="30">
        <f t="shared" si="37"/>
        <v>288.64749999999998</v>
      </c>
      <c r="S284" s="7" t="str">
        <f t="shared" si="32"/>
        <v>90-95</v>
      </c>
      <c r="T284" s="7" t="str">
        <f t="shared" si="33"/>
        <v>&gt; 800</v>
      </c>
      <c r="U284" s="31">
        <f t="shared" si="34"/>
        <v>0.04</v>
      </c>
      <c r="V284" s="30">
        <f t="shared" si="35"/>
        <v>27421.061650125033</v>
      </c>
      <c r="W284" s="30">
        <f t="shared" si="36"/>
        <v>4157.2035897474561</v>
      </c>
      <c r="X284" s="30">
        <f t="shared" si="38"/>
        <v>4157.2035897474561</v>
      </c>
      <c r="Y284" s="30">
        <f t="shared" si="39"/>
        <v>166.28814358989825</v>
      </c>
    </row>
    <row r="285" spans="1:25" x14ac:dyDescent="0.15">
      <c r="A285" s="7">
        <v>1281</v>
      </c>
      <c r="B285" s="19">
        <v>45309</v>
      </c>
      <c r="C285" s="7">
        <v>360</v>
      </c>
      <c r="D285" s="19">
        <v>45747</v>
      </c>
      <c r="E285" s="7">
        <v>14</v>
      </c>
      <c r="F285" s="29">
        <v>303880</v>
      </c>
      <c r="G285" s="29">
        <v>273442.35329332814</v>
      </c>
      <c r="H285" s="29">
        <v>366120.48192771088</v>
      </c>
      <c r="I285" s="7">
        <v>83</v>
      </c>
      <c r="J285" s="7" t="s">
        <v>65</v>
      </c>
      <c r="K285" s="7">
        <v>802</v>
      </c>
      <c r="L285" s="7">
        <v>6</v>
      </c>
      <c r="M285" s="7" t="s">
        <v>59</v>
      </c>
      <c r="N285" s="10">
        <v>7.7361106925532747E-2</v>
      </c>
      <c r="O285" s="7">
        <v>0.12</v>
      </c>
      <c r="P285" s="7">
        <v>0.3</v>
      </c>
      <c r="R285" s="30">
        <f t="shared" si="37"/>
        <v>911.64</v>
      </c>
      <c r="S285" s="7" t="str">
        <f t="shared" si="32"/>
        <v>80-85</v>
      </c>
      <c r="T285" s="7" t="str">
        <f t="shared" si="33"/>
        <v>&gt; 800</v>
      </c>
      <c r="U285" s="31">
        <f t="shared" si="34"/>
        <v>0.01</v>
      </c>
      <c r="V285" s="30">
        <f t="shared" si="35"/>
        <v>34453.736514959346</v>
      </c>
      <c r="W285" s="30">
        <f t="shared" si="36"/>
        <v>-24087.938680559688</v>
      </c>
      <c r="X285" s="30">
        <f t="shared" si="38"/>
        <v>0</v>
      </c>
      <c r="Y285" s="30">
        <f t="shared" si="39"/>
        <v>0</v>
      </c>
    </row>
    <row r="286" spans="1:25" x14ac:dyDescent="0.15">
      <c r="A286" s="7">
        <v>1282</v>
      </c>
      <c r="B286" s="19">
        <v>45461</v>
      </c>
      <c r="C286" s="7">
        <v>360</v>
      </c>
      <c r="D286" s="19">
        <v>45747</v>
      </c>
      <c r="E286" s="7">
        <v>9</v>
      </c>
      <c r="F286" s="29">
        <v>306163</v>
      </c>
      <c r="G286" s="29">
        <v>287940.12937128212</v>
      </c>
      <c r="H286" s="29">
        <v>329207.52688172041</v>
      </c>
      <c r="I286" s="7">
        <v>93</v>
      </c>
      <c r="J286" s="7" t="s">
        <v>70</v>
      </c>
      <c r="K286" s="7">
        <v>716</v>
      </c>
      <c r="L286" s="7">
        <v>39</v>
      </c>
      <c r="M286" s="7" t="s">
        <v>59</v>
      </c>
      <c r="N286" s="10">
        <v>6.9408552792162445E-2</v>
      </c>
      <c r="O286" s="7">
        <v>0.25</v>
      </c>
      <c r="P286" s="7">
        <v>0.44</v>
      </c>
      <c r="R286" s="30">
        <f t="shared" si="37"/>
        <v>1347.1171999999999</v>
      </c>
      <c r="S286" s="7" t="str">
        <f t="shared" si="32"/>
        <v>90-95</v>
      </c>
      <c r="T286" s="7" t="str">
        <f t="shared" si="33"/>
        <v>700-750</v>
      </c>
      <c r="U286" s="31">
        <f t="shared" si="34"/>
        <v>0.06</v>
      </c>
      <c r="V286" s="30">
        <f t="shared" si="35"/>
        <v>75584.283959961555</v>
      </c>
      <c r="W286" s="30">
        <f t="shared" si="36"/>
        <v>22510.737990383874</v>
      </c>
      <c r="X286" s="30">
        <f t="shared" si="38"/>
        <v>22510.737990383874</v>
      </c>
      <c r="Y286" s="30">
        <f t="shared" si="39"/>
        <v>1350.6442794230325</v>
      </c>
    </row>
    <row r="287" spans="1:25" x14ac:dyDescent="0.15">
      <c r="A287" s="7">
        <v>1283</v>
      </c>
      <c r="B287" s="19">
        <v>45353</v>
      </c>
      <c r="C287" s="7">
        <v>360</v>
      </c>
      <c r="D287" s="19">
        <v>45747</v>
      </c>
      <c r="E287" s="7">
        <v>12</v>
      </c>
      <c r="F287" s="29">
        <v>327747</v>
      </c>
      <c r="G287" s="29">
        <v>300545.98948029225</v>
      </c>
      <c r="H287" s="29">
        <v>381101.16279069771</v>
      </c>
      <c r="I287" s="7">
        <v>86</v>
      </c>
      <c r="J287" s="7" t="s">
        <v>64</v>
      </c>
      <c r="K287" s="7">
        <v>738</v>
      </c>
      <c r="L287" s="7">
        <v>33</v>
      </c>
      <c r="M287" s="7" t="s">
        <v>59</v>
      </c>
      <c r="N287" s="10">
        <v>7.3888020631951226E-2</v>
      </c>
      <c r="O287" s="7">
        <v>0.12</v>
      </c>
      <c r="P287" s="7">
        <v>0.36</v>
      </c>
      <c r="R287" s="30">
        <f t="shared" si="37"/>
        <v>1179.8892000000001</v>
      </c>
      <c r="S287" s="7" t="str">
        <f t="shared" si="32"/>
        <v>85-90</v>
      </c>
      <c r="T287" s="7" t="str">
        <f t="shared" si="33"/>
        <v>700-750</v>
      </c>
      <c r="U287" s="31">
        <f t="shared" si="34"/>
        <v>0.03</v>
      </c>
      <c r="V287" s="30">
        <f t="shared" si="35"/>
        <v>37868.794674516823</v>
      </c>
      <c r="W287" s="30">
        <f t="shared" si="36"/>
        <v>-8362.6994177862071</v>
      </c>
      <c r="X287" s="30">
        <f t="shared" si="38"/>
        <v>0</v>
      </c>
      <c r="Y287" s="30">
        <f t="shared" si="39"/>
        <v>0</v>
      </c>
    </row>
    <row r="288" spans="1:25" x14ac:dyDescent="0.15">
      <c r="A288" s="7">
        <v>1284</v>
      </c>
      <c r="B288" s="19">
        <v>45467</v>
      </c>
      <c r="C288" s="7">
        <v>360</v>
      </c>
      <c r="D288" s="19">
        <v>45747</v>
      </c>
      <c r="E288" s="7">
        <v>9</v>
      </c>
      <c r="F288" s="29">
        <v>467077</v>
      </c>
      <c r="G288" s="29">
        <v>436946.40367873874</v>
      </c>
      <c r="H288" s="29">
        <v>569606.0975609757</v>
      </c>
      <c r="I288" s="7">
        <v>82</v>
      </c>
      <c r="J288" s="7" t="s">
        <v>74</v>
      </c>
      <c r="K288" s="7">
        <v>666</v>
      </c>
      <c r="L288" s="7">
        <v>22</v>
      </c>
      <c r="M288" s="7" t="s">
        <v>59</v>
      </c>
      <c r="N288" s="10">
        <v>7.7551029558678305E-2</v>
      </c>
      <c r="O288" s="7">
        <v>0.12</v>
      </c>
      <c r="P288" s="7">
        <v>0.39</v>
      </c>
      <c r="R288" s="30">
        <f t="shared" si="37"/>
        <v>1821.6003000000001</v>
      </c>
      <c r="S288" s="7" t="str">
        <f t="shared" si="32"/>
        <v>80-85</v>
      </c>
      <c r="T288" s="7" t="str">
        <f t="shared" si="33"/>
        <v>650-700</v>
      </c>
      <c r="U288" s="31">
        <f t="shared" si="34"/>
        <v>0.03</v>
      </c>
      <c r="V288" s="30">
        <f t="shared" si="35"/>
        <v>55055.246863521083</v>
      </c>
      <c r="W288" s="30">
        <f t="shared" si="36"/>
        <v>-25371.459064153605</v>
      </c>
      <c r="X288" s="30">
        <f t="shared" si="38"/>
        <v>0</v>
      </c>
      <c r="Y288" s="30">
        <f t="shared" si="39"/>
        <v>0</v>
      </c>
    </row>
    <row r="289" spans="1:25" x14ac:dyDescent="0.15">
      <c r="A289" s="7">
        <v>1285</v>
      </c>
      <c r="B289" s="19">
        <v>45307</v>
      </c>
      <c r="C289" s="7">
        <v>360</v>
      </c>
      <c r="D289" s="19">
        <v>45747</v>
      </c>
      <c r="E289" s="7">
        <v>14</v>
      </c>
      <c r="F289" s="29">
        <v>340773</v>
      </c>
      <c r="G289" s="29">
        <v>306933.44455641124</v>
      </c>
      <c r="H289" s="29">
        <v>420707.40740740736</v>
      </c>
      <c r="I289" s="7">
        <v>81</v>
      </c>
      <c r="J289" s="7" t="s">
        <v>64</v>
      </c>
      <c r="K289" s="7">
        <v>757</v>
      </c>
      <c r="L289" s="7">
        <v>50</v>
      </c>
      <c r="M289" s="7" t="s">
        <v>59</v>
      </c>
      <c r="N289" s="10">
        <v>7.6469221122282341E-2</v>
      </c>
      <c r="O289" s="7">
        <v>0.12</v>
      </c>
      <c r="P289" s="7">
        <v>0.28000000000000003</v>
      </c>
      <c r="R289" s="30">
        <f t="shared" si="37"/>
        <v>954.1644</v>
      </c>
      <c r="S289" s="7" t="str">
        <f t="shared" si="32"/>
        <v>80-85</v>
      </c>
      <c r="T289" s="7" t="str">
        <f t="shared" si="33"/>
        <v>750-800</v>
      </c>
      <c r="U289" s="31">
        <f t="shared" si="34"/>
        <v>0.02</v>
      </c>
      <c r="V289" s="30">
        <f t="shared" si="35"/>
        <v>38673.614014107814</v>
      </c>
      <c r="W289" s="30">
        <f t="shared" si="36"/>
        <v>-35321.179512064438</v>
      </c>
      <c r="X289" s="30">
        <f t="shared" si="38"/>
        <v>0</v>
      </c>
      <c r="Y289" s="30">
        <f t="shared" si="39"/>
        <v>0</v>
      </c>
    </row>
    <row r="290" spans="1:25" x14ac:dyDescent="0.15">
      <c r="A290" s="7">
        <v>1286</v>
      </c>
      <c r="B290" s="19">
        <v>45299</v>
      </c>
      <c r="C290" s="7">
        <v>360</v>
      </c>
      <c r="D290" s="19">
        <v>45747</v>
      </c>
      <c r="E290" s="7">
        <v>14</v>
      </c>
      <c r="F290" s="29">
        <v>560425</v>
      </c>
      <c r="G290" s="29">
        <v>515744.49518401449</v>
      </c>
      <c r="H290" s="29">
        <v>691882.7160493827</v>
      </c>
      <c r="I290" s="7">
        <v>81</v>
      </c>
      <c r="J290" s="7" t="s">
        <v>74</v>
      </c>
      <c r="K290" s="7">
        <v>690</v>
      </c>
      <c r="L290" s="7">
        <v>11</v>
      </c>
      <c r="M290" s="7" t="s">
        <v>59</v>
      </c>
      <c r="N290" s="10">
        <v>5.5268095083952105E-2</v>
      </c>
      <c r="O290" s="7">
        <v>0.12</v>
      </c>
      <c r="P290" s="7">
        <v>0.41</v>
      </c>
      <c r="R290" s="30">
        <f t="shared" si="37"/>
        <v>2297.7424999999998</v>
      </c>
      <c r="S290" s="7" t="str">
        <f t="shared" si="32"/>
        <v>80-85</v>
      </c>
      <c r="T290" s="7" t="str">
        <f t="shared" si="33"/>
        <v>650-700</v>
      </c>
      <c r="U290" s="31">
        <f t="shared" si="34"/>
        <v>0.03</v>
      </c>
      <c r="V290" s="30">
        <f t="shared" si="35"/>
        <v>64983.806393185827</v>
      </c>
      <c r="W290" s="30">
        <f t="shared" si="36"/>
        <v>-46568.588698760024</v>
      </c>
      <c r="X290" s="30">
        <f t="shared" si="38"/>
        <v>0</v>
      </c>
      <c r="Y290" s="30">
        <f t="shared" si="39"/>
        <v>0</v>
      </c>
    </row>
    <row r="291" spans="1:25" x14ac:dyDescent="0.15">
      <c r="A291" s="7">
        <v>1287</v>
      </c>
      <c r="B291" s="19">
        <v>45377</v>
      </c>
      <c r="C291" s="7">
        <v>360</v>
      </c>
      <c r="D291" s="19">
        <v>45747</v>
      </c>
      <c r="E291" s="7">
        <v>12</v>
      </c>
      <c r="F291" s="29">
        <v>251278</v>
      </c>
      <c r="G291" s="29">
        <v>234229.23126645188</v>
      </c>
      <c r="H291" s="29">
        <v>273128.26086956519</v>
      </c>
      <c r="I291" s="7">
        <v>92</v>
      </c>
      <c r="J291" s="7" t="s">
        <v>73</v>
      </c>
      <c r="K291" s="7">
        <v>717</v>
      </c>
      <c r="L291" s="7">
        <v>29</v>
      </c>
      <c r="M291" s="7" t="s">
        <v>59</v>
      </c>
      <c r="N291" s="10">
        <v>5.4619174927969152E-2</v>
      </c>
      <c r="O291" s="7">
        <v>0.25</v>
      </c>
      <c r="P291" s="7">
        <v>0.36</v>
      </c>
      <c r="R291" s="30">
        <f t="shared" si="37"/>
        <v>904.60080000000005</v>
      </c>
      <c r="S291" s="7" t="str">
        <f t="shared" si="32"/>
        <v>90-95</v>
      </c>
      <c r="T291" s="7" t="str">
        <f t="shared" si="33"/>
        <v>700-750</v>
      </c>
      <c r="U291" s="31">
        <f t="shared" si="34"/>
        <v>0.06</v>
      </c>
      <c r="V291" s="30">
        <f t="shared" si="35"/>
        <v>61485.173207443622</v>
      </c>
      <c r="W291" s="30">
        <f t="shared" si="36"/>
        <v>13781.671090644086</v>
      </c>
      <c r="X291" s="30">
        <f t="shared" si="38"/>
        <v>13781.671090644086</v>
      </c>
      <c r="Y291" s="30">
        <f t="shared" si="39"/>
        <v>826.90026543864508</v>
      </c>
    </row>
    <row r="292" spans="1:25" x14ac:dyDescent="0.15">
      <c r="A292" s="7">
        <v>1288</v>
      </c>
      <c r="B292" s="19">
        <v>45454</v>
      </c>
      <c r="C292" s="7">
        <v>360</v>
      </c>
      <c r="D292" s="19">
        <v>45747</v>
      </c>
      <c r="E292" s="7">
        <v>9</v>
      </c>
      <c r="F292" s="29">
        <v>608175</v>
      </c>
      <c r="G292" s="29">
        <v>568920.62280982663</v>
      </c>
      <c r="H292" s="29">
        <v>683342.69662921352</v>
      </c>
      <c r="I292" s="7">
        <v>89</v>
      </c>
      <c r="J292" s="7" t="s">
        <v>61</v>
      </c>
      <c r="K292" s="7">
        <v>817</v>
      </c>
      <c r="L292" s="7">
        <v>2</v>
      </c>
      <c r="M292" s="7" t="s">
        <v>59</v>
      </c>
      <c r="N292" s="10">
        <v>7.7608416297466787E-2</v>
      </c>
      <c r="O292" s="7">
        <v>0.12</v>
      </c>
      <c r="P292" s="7">
        <v>0.34</v>
      </c>
      <c r="R292" s="30">
        <f t="shared" si="37"/>
        <v>2067.7950000000001</v>
      </c>
      <c r="S292" s="7" t="str">
        <f t="shared" si="32"/>
        <v>85-90</v>
      </c>
      <c r="T292" s="7" t="str">
        <f t="shared" si="33"/>
        <v>&gt; 800</v>
      </c>
      <c r="U292" s="31">
        <f t="shared" si="34"/>
        <v>0.01</v>
      </c>
      <c r="V292" s="30">
        <f t="shared" si="35"/>
        <v>71683.998474038162</v>
      </c>
      <c r="W292" s="30">
        <f t="shared" si="36"/>
        <v>16525.361815486569</v>
      </c>
      <c r="X292" s="30">
        <f t="shared" si="38"/>
        <v>16525.361815486569</v>
      </c>
      <c r="Y292" s="30">
        <f t="shared" si="39"/>
        <v>165.25361815486571</v>
      </c>
    </row>
    <row r="293" spans="1:25" x14ac:dyDescent="0.15">
      <c r="A293" s="7">
        <v>1289</v>
      </c>
      <c r="B293" s="19">
        <v>45326</v>
      </c>
      <c r="C293" s="7">
        <v>360</v>
      </c>
      <c r="D293" s="19">
        <v>45747</v>
      </c>
      <c r="E293" s="7">
        <v>13</v>
      </c>
      <c r="F293" s="29">
        <v>458351</v>
      </c>
      <c r="G293" s="29">
        <v>417329.30371403851</v>
      </c>
      <c r="H293" s="29">
        <v>520853.40909090912</v>
      </c>
      <c r="I293" s="7">
        <v>88</v>
      </c>
      <c r="J293" s="7" t="s">
        <v>60</v>
      </c>
      <c r="K293" s="7">
        <v>742</v>
      </c>
      <c r="L293" s="7">
        <v>47</v>
      </c>
      <c r="M293" s="7" t="s">
        <v>59</v>
      </c>
      <c r="N293" s="10">
        <v>7.3423231701198549E-2</v>
      </c>
      <c r="O293" s="7">
        <v>0.12</v>
      </c>
      <c r="P293" s="7">
        <v>0.31</v>
      </c>
      <c r="R293" s="30">
        <f t="shared" si="37"/>
        <v>1420.8880999999999</v>
      </c>
      <c r="S293" s="7" t="str">
        <f t="shared" si="32"/>
        <v>85-90</v>
      </c>
      <c r="T293" s="7" t="str">
        <f t="shared" si="33"/>
        <v>700-750</v>
      </c>
      <c r="U293" s="31">
        <f t="shared" si="34"/>
        <v>0.03</v>
      </c>
      <c r="V293" s="30">
        <f t="shared" si="35"/>
        <v>52583.492267968853</v>
      </c>
      <c r="W293" s="30">
        <f t="shared" si="36"/>
        <v>-4529.6288275322877</v>
      </c>
      <c r="X293" s="30">
        <f t="shared" si="38"/>
        <v>0</v>
      </c>
      <c r="Y293" s="30">
        <f t="shared" si="39"/>
        <v>0</v>
      </c>
    </row>
    <row r="294" spans="1:25" x14ac:dyDescent="0.15">
      <c r="A294" s="7">
        <v>1290</v>
      </c>
      <c r="B294" s="19">
        <v>45324</v>
      </c>
      <c r="C294" s="7">
        <v>360</v>
      </c>
      <c r="D294" s="19">
        <v>45747</v>
      </c>
      <c r="E294" s="7">
        <v>13</v>
      </c>
      <c r="F294" s="29">
        <v>363684</v>
      </c>
      <c r="G294" s="29">
        <v>336146.33917568607</v>
      </c>
      <c r="H294" s="29">
        <v>391058.06451612903</v>
      </c>
      <c r="I294" s="7">
        <v>93</v>
      </c>
      <c r="J294" s="7" t="s">
        <v>65</v>
      </c>
      <c r="K294" s="7">
        <v>732</v>
      </c>
      <c r="L294" s="7">
        <v>38</v>
      </c>
      <c r="M294" s="7" t="s">
        <v>59</v>
      </c>
      <c r="N294" s="10">
        <v>5.7323348382608635E-2</v>
      </c>
      <c r="O294" s="7">
        <v>0.25</v>
      </c>
      <c r="P294" s="7">
        <v>0.43</v>
      </c>
      <c r="R294" s="30">
        <f t="shared" si="37"/>
        <v>1563.8411999999998</v>
      </c>
      <c r="S294" s="7" t="str">
        <f t="shared" si="32"/>
        <v>90-95</v>
      </c>
      <c r="T294" s="7" t="str">
        <f t="shared" si="33"/>
        <v>700-750</v>
      </c>
      <c r="U294" s="31">
        <f t="shared" si="34"/>
        <v>0.06</v>
      </c>
      <c r="V294" s="30">
        <f t="shared" si="35"/>
        <v>88238.414033617591</v>
      </c>
      <c r="W294" s="30">
        <f t="shared" si="36"/>
        <v>20554.30129576067</v>
      </c>
      <c r="X294" s="30">
        <f t="shared" si="38"/>
        <v>20554.30129576067</v>
      </c>
      <c r="Y294" s="30">
        <f t="shared" si="39"/>
        <v>1233.2580777456401</v>
      </c>
    </row>
    <row r="295" spans="1:25" x14ac:dyDescent="0.15">
      <c r="A295" s="7">
        <v>1291</v>
      </c>
      <c r="B295" s="19">
        <v>45339</v>
      </c>
      <c r="C295" s="7">
        <v>360</v>
      </c>
      <c r="D295" s="19">
        <v>45747</v>
      </c>
      <c r="E295" s="7">
        <v>13</v>
      </c>
      <c r="F295" s="29">
        <v>569382</v>
      </c>
      <c r="G295" s="29">
        <v>523716.46158284292</v>
      </c>
      <c r="H295" s="29">
        <v>686002.40963855421</v>
      </c>
      <c r="I295" s="7">
        <v>83</v>
      </c>
      <c r="J295" s="7" t="s">
        <v>66</v>
      </c>
      <c r="K295" s="7">
        <v>678</v>
      </c>
      <c r="L295" s="7">
        <v>24</v>
      </c>
      <c r="M295" s="7" t="s">
        <v>59</v>
      </c>
      <c r="N295" s="10">
        <v>6.268761981018503E-2</v>
      </c>
      <c r="O295" s="7">
        <v>0.12</v>
      </c>
      <c r="P295" s="7">
        <v>0.37</v>
      </c>
      <c r="R295" s="30">
        <f t="shared" si="37"/>
        <v>2106.7134000000001</v>
      </c>
      <c r="S295" s="7" t="str">
        <f t="shared" si="32"/>
        <v>80-85</v>
      </c>
      <c r="T295" s="7" t="str">
        <f t="shared" si="33"/>
        <v>650-700</v>
      </c>
      <c r="U295" s="31">
        <f t="shared" si="34"/>
        <v>0.03</v>
      </c>
      <c r="V295" s="30">
        <f t="shared" si="35"/>
        <v>65988.27415943821</v>
      </c>
      <c r="W295" s="30">
        <f t="shared" si="36"/>
        <v>-33199.763530785916</v>
      </c>
      <c r="X295" s="30">
        <f t="shared" si="38"/>
        <v>0</v>
      </c>
      <c r="Y295" s="30">
        <f t="shared" si="39"/>
        <v>0</v>
      </c>
    </row>
    <row r="296" spans="1:25" x14ac:dyDescent="0.15">
      <c r="A296" s="7">
        <v>1292</v>
      </c>
      <c r="B296" s="19">
        <v>45382</v>
      </c>
      <c r="C296" s="7">
        <v>360</v>
      </c>
      <c r="D296" s="19">
        <v>45747</v>
      </c>
      <c r="E296" s="7">
        <v>12</v>
      </c>
      <c r="F296" s="29">
        <v>578007</v>
      </c>
      <c r="G296" s="29">
        <v>529412.86995875998</v>
      </c>
      <c r="H296" s="29">
        <v>713588.88888888888</v>
      </c>
      <c r="I296" s="7">
        <v>81</v>
      </c>
      <c r="J296" s="7" t="s">
        <v>60</v>
      </c>
      <c r="K296" s="7">
        <v>651</v>
      </c>
      <c r="L296" s="7">
        <v>6</v>
      </c>
      <c r="M296" s="7" t="s">
        <v>59</v>
      </c>
      <c r="N296" s="10">
        <v>7.5202101897482818E-2</v>
      </c>
      <c r="O296" s="7">
        <v>0.12</v>
      </c>
      <c r="P296" s="7">
        <v>0.32</v>
      </c>
      <c r="R296" s="30">
        <f t="shared" si="37"/>
        <v>1849.6224</v>
      </c>
      <c r="S296" s="7" t="str">
        <f t="shared" si="32"/>
        <v>80-85</v>
      </c>
      <c r="T296" s="7" t="str">
        <f t="shared" si="33"/>
        <v>650-700</v>
      </c>
      <c r="U296" s="31">
        <f t="shared" si="34"/>
        <v>0.03</v>
      </c>
      <c r="V296" s="30">
        <f t="shared" si="35"/>
        <v>66706.021614803758</v>
      </c>
      <c r="W296" s="30">
        <f t="shared" si="36"/>
        <v>-50667.042098857462</v>
      </c>
      <c r="X296" s="30">
        <f t="shared" si="38"/>
        <v>0</v>
      </c>
      <c r="Y296" s="30">
        <f t="shared" si="39"/>
        <v>0</v>
      </c>
    </row>
    <row r="297" spans="1:25" x14ac:dyDescent="0.15">
      <c r="A297" s="7">
        <v>1293</v>
      </c>
      <c r="B297" s="19">
        <v>45373</v>
      </c>
      <c r="C297" s="7">
        <v>360</v>
      </c>
      <c r="D297" s="19">
        <v>45747</v>
      </c>
      <c r="E297" s="7">
        <v>12</v>
      </c>
      <c r="F297" s="29">
        <v>630287</v>
      </c>
      <c r="G297" s="29">
        <v>575374.03299232689</v>
      </c>
      <c r="H297" s="29">
        <v>649780.41237113404</v>
      </c>
      <c r="I297" s="7">
        <v>97</v>
      </c>
      <c r="J297" s="7" t="s">
        <v>74</v>
      </c>
      <c r="K297" s="7">
        <v>711</v>
      </c>
      <c r="L297" s="7">
        <v>49</v>
      </c>
      <c r="M297" s="7" t="s">
        <v>59</v>
      </c>
      <c r="N297" s="10">
        <v>7.888854235353121E-2</v>
      </c>
      <c r="O297" s="7">
        <v>0.35</v>
      </c>
      <c r="P297" s="7">
        <v>0.31</v>
      </c>
      <c r="R297" s="30">
        <f t="shared" si="37"/>
        <v>1953.8896999999999</v>
      </c>
      <c r="S297" s="7" t="str">
        <f t="shared" si="32"/>
        <v>&gt; 95</v>
      </c>
      <c r="T297" s="7" t="str">
        <f t="shared" si="33"/>
        <v>700-750</v>
      </c>
      <c r="U297" s="31">
        <f t="shared" si="34"/>
        <v>7.0000000000000007E-2</v>
      </c>
      <c r="V297" s="30">
        <f t="shared" si="35"/>
        <v>211449.95712468014</v>
      </c>
      <c r="W297" s="30">
        <f t="shared" si="36"/>
        <v>51829.384126479272</v>
      </c>
      <c r="X297" s="30">
        <f t="shared" si="38"/>
        <v>51829.384126479272</v>
      </c>
      <c r="Y297" s="30">
        <f t="shared" si="39"/>
        <v>3628.0568888535495</v>
      </c>
    </row>
    <row r="298" spans="1:25" x14ac:dyDescent="0.15">
      <c r="A298" s="7">
        <v>1294</v>
      </c>
      <c r="B298" s="19">
        <v>45315</v>
      </c>
      <c r="C298" s="7">
        <v>360</v>
      </c>
      <c r="D298" s="19">
        <v>45747</v>
      </c>
      <c r="E298" s="7">
        <v>14</v>
      </c>
      <c r="F298" s="29">
        <v>285950</v>
      </c>
      <c r="G298" s="29">
        <v>260513.74237898894</v>
      </c>
      <c r="H298" s="29">
        <v>357437.5</v>
      </c>
      <c r="I298" s="7">
        <v>80</v>
      </c>
      <c r="J298" s="7" t="s">
        <v>63</v>
      </c>
      <c r="K298" s="7">
        <v>648</v>
      </c>
      <c r="L298" s="7">
        <v>48</v>
      </c>
      <c r="M298" s="7" t="s">
        <v>59</v>
      </c>
      <c r="N298" s="10">
        <v>6.5503397856925091E-2</v>
      </c>
      <c r="O298" s="7">
        <v>0.12</v>
      </c>
      <c r="P298" s="7">
        <v>0.26</v>
      </c>
      <c r="R298" s="30">
        <f t="shared" si="37"/>
        <v>743.47</v>
      </c>
      <c r="S298" s="7" t="str">
        <f t="shared" si="32"/>
        <v>80-85</v>
      </c>
      <c r="T298" s="7" t="str">
        <f t="shared" si="33"/>
        <v>&lt; 650</v>
      </c>
      <c r="U298" s="31">
        <f t="shared" si="34"/>
        <v>0.04</v>
      </c>
      <c r="V298" s="30">
        <f t="shared" si="35"/>
        <v>32824.731539752611</v>
      </c>
      <c r="W298" s="30">
        <f t="shared" si="36"/>
        <v>-30282.445502061571</v>
      </c>
      <c r="X298" s="30">
        <f t="shared" si="38"/>
        <v>0</v>
      </c>
      <c r="Y298" s="30">
        <f t="shared" si="39"/>
        <v>0</v>
      </c>
    </row>
    <row r="299" spans="1:25" x14ac:dyDescent="0.15">
      <c r="A299" s="7">
        <v>1295</v>
      </c>
      <c r="B299" s="19">
        <v>45408</v>
      </c>
      <c r="C299" s="7">
        <v>360</v>
      </c>
      <c r="D299" s="19">
        <v>45747</v>
      </c>
      <c r="E299" s="7">
        <v>11</v>
      </c>
      <c r="F299" s="29">
        <v>158761</v>
      </c>
      <c r="G299" s="29">
        <v>146110.68986811198</v>
      </c>
      <c r="H299" s="29">
        <v>198451.25</v>
      </c>
      <c r="I299" s="7">
        <v>80</v>
      </c>
      <c r="J299" s="7" t="s">
        <v>62</v>
      </c>
      <c r="K299" s="7">
        <v>600</v>
      </c>
      <c r="L299" s="7">
        <v>15</v>
      </c>
      <c r="M299" s="7" t="s">
        <v>59</v>
      </c>
      <c r="N299" s="10">
        <v>7.8650231028113859E-2</v>
      </c>
      <c r="O299" s="7">
        <v>0.12</v>
      </c>
      <c r="P299" s="7">
        <v>0.4</v>
      </c>
      <c r="R299" s="30">
        <f t="shared" si="37"/>
        <v>635.04399999999998</v>
      </c>
      <c r="S299" s="7" t="str">
        <f t="shared" si="32"/>
        <v>80-85</v>
      </c>
      <c r="T299" s="7" t="str">
        <f t="shared" si="33"/>
        <v>&lt; 650</v>
      </c>
      <c r="U299" s="31">
        <f t="shared" si="34"/>
        <v>0.04</v>
      </c>
      <c r="V299" s="30">
        <f t="shared" si="35"/>
        <v>18409.946923382111</v>
      </c>
      <c r="W299" s="30">
        <f t="shared" si="36"/>
        <v>-15267.338138482417</v>
      </c>
      <c r="X299" s="30">
        <f t="shared" si="38"/>
        <v>0</v>
      </c>
      <c r="Y299" s="30">
        <f t="shared" si="39"/>
        <v>0</v>
      </c>
    </row>
    <row r="300" spans="1:25" x14ac:dyDescent="0.15">
      <c r="A300" s="7">
        <v>1296</v>
      </c>
      <c r="B300" s="19">
        <v>45379</v>
      </c>
      <c r="C300" s="7">
        <v>360</v>
      </c>
      <c r="D300" s="19">
        <v>45747</v>
      </c>
      <c r="E300" s="7">
        <v>12</v>
      </c>
      <c r="F300" s="29">
        <v>202680</v>
      </c>
      <c r="G300" s="29">
        <v>188313.72472150921</v>
      </c>
      <c r="H300" s="29">
        <v>227730.33707865168</v>
      </c>
      <c r="I300" s="7">
        <v>89</v>
      </c>
      <c r="J300" s="7" t="s">
        <v>66</v>
      </c>
      <c r="K300" s="7">
        <v>832</v>
      </c>
      <c r="L300" s="7">
        <v>17</v>
      </c>
      <c r="M300" s="7" t="s">
        <v>59</v>
      </c>
      <c r="N300" s="10">
        <v>5.8615697960616921E-2</v>
      </c>
      <c r="O300" s="7">
        <v>0.12</v>
      </c>
      <c r="P300" s="7">
        <v>0.35</v>
      </c>
      <c r="R300" s="30">
        <f t="shared" si="37"/>
        <v>709.38</v>
      </c>
      <c r="S300" s="7" t="str">
        <f t="shared" si="32"/>
        <v>85-90</v>
      </c>
      <c r="T300" s="7" t="str">
        <f t="shared" si="33"/>
        <v>&gt; 800</v>
      </c>
      <c r="U300" s="31">
        <f t="shared" si="34"/>
        <v>0.01</v>
      </c>
      <c r="V300" s="30">
        <f t="shared" si="35"/>
        <v>23727.52931491016</v>
      </c>
      <c r="W300" s="30">
        <f t="shared" si="36"/>
        <v>4158.6244407307531</v>
      </c>
      <c r="X300" s="30">
        <f t="shared" si="38"/>
        <v>4158.6244407307531</v>
      </c>
      <c r="Y300" s="30">
        <f t="shared" si="39"/>
        <v>41.586244407307532</v>
      </c>
    </row>
    <row r="301" spans="1:25" x14ac:dyDescent="0.15">
      <c r="A301" s="7">
        <v>1297</v>
      </c>
      <c r="B301" s="19">
        <v>45294</v>
      </c>
      <c r="C301" s="7">
        <v>360</v>
      </c>
      <c r="D301" s="19">
        <v>45747</v>
      </c>
      <c r="E301" s="7">
        <v>14</v>
      </c>
      <c r="F301" s="29">
        <v>253612</v>
      </c>
      <c r="G301" s="29">
        <v>231798.80111775402</v>
      </c>
      <c r="H301" s="29">
        <v>281791.11111111112</v>
      </c>
      <c r="I301" s="7">
        <v>90</v>
      </c>
      <c r="J301" s="7" t="s">
        <v>72</v>
      </c>
      <c r="K301" s="7">
        <v>740</v>
      </c>
      <c r="L301" s="7">
        <v>31</v>
      </c>
      <c r="M301" s="7" t="s">
        <v>59</v>
      </c>
      <c r="N301" s="10">
        <v>6.2290917552317721E-2</v>
      </c>
      <c r="O301" s="7">
        <v>0.25</v>
      </c>
      <c r="P301" s="7">
        <v>0.39</v>
      </c>
      <c r="R301" s="30">
        <f t="shared" si="37"/>
        <v>989.08680000000004</v>
      </c>
      <c r="S301" s="7" t="str">
        <f t="shared" si="32"/>
        <v>85-90</v>
      </c>
      <c r="T301" s="7" t="str">
        <f t="shared" si="33"/>
        <v>700-750</v>
      </c>
      <c r="U301" s="31">
        <f t="shared" si="34"/>
        <v>0.03</v>
      </c>
      <c r="V301" s="30">
        <f t="shared" si="35"/>
        <v>60847.185293410432</v>
      </c>
      <c r="W301" s="30">
        <f t="shared" si="36"/>
        <v>3866.2967291972891</v>
      </c>
      <c r="X301" s="30">
        <f t="shared" si="38"/>
        <v>3866.2967291972891</v>
      </c>
      <c r="Y301" s="30">
        <f t="shared" si="39"/>
        <v>115.98890187591867</v>
      </c>
    </row>
    <row r="302" spans="1:25" x14ac:dyDescent="0.15">
      <c r="A302" s="7">
        <v>1298</v>
      </c>
      <c r="B302" s="19">
        <v>45354</v>
      </c>
      <c r="C302" s="7">
        <v>360</v>
      </c>
      <c r="D302" s="19">
        <v>45747</v>
      </c>
      <c r="E302" s="7">
        <v>12</v>
      </c>
      <c r="F302" s="29">
        <v>790362</v>
      </c>
      <c r="G302" s="29">
        <v>733008.25571219937</v>
      </c>
      <c r="H302" s="29">
        <v>952243.37349397596</v>
      </c>
      <c r="I302" s="7">
        <v>83</v>
      </c>
      <c r="J302" s="7" t="s">
        <v>66</v>
      </c>
      <c r="K302" s="7">
        <v>706</v>
      </c>
      <c r="L302" s="7">
        <v>39</v>
      </c>
      <c r="M302" s="7" t="s">
        <v>59</v>
      </c>
      <c r="N302" s="10">
        <v>6.0802583780218945E-2</v>
      </c>
      <c r="O302" s="7">
        <v>0.12</v>
      </c>
      <c r="P302" s="7">
        <v>0.24</v>
      </c>
      <c r="R302" s="30">
        <f t="shared" si="37"/>
        <v>1896.8688</v>
      </c>
      <c r="S302" s="7" t="str">
        <f t="shared" si="32"/>
        <v>80-85</v>
      </c>
      <c r="T302" s="7" t="str">
        <f t="shared" si="33"/>
        <v>700-750</v>
      </c>
      <c r="U302" s="31">
        <f t="shared" si="34"/>
        <v>2.5000000000000001E-2</v>
      </c>
      <c r="V302" s="30">
        <f t="shared" si="35"/>
        <v>92359.040219737115</v>
      </c>
      <c r="W302" s="30">
        <f t="shared" si="36"/>
        <v>-39748.19897207024</v>
      </c>
      <c r="X302" s="30">
        <f t="shared" si="38"/>
        <v>0</v>
      </c>
      <c r="Y302" s="30">
        <f t="shared" si="39"/>
        <v>0</v>
      </c>
    </row>
    <row r="303" spans="1:25" x14ac:dyDescent="0.15">
      <c r="A303" s="7">
        <v>1299</v>
      </c>
      <c r="B303" s="19">
        <v>45347</v>
      </c>
      <c r="C303" s="7">
        <v>360</v>
      </c>
      <c r="D303" s="19">
        <v>45747</v>
      </c>
      <c r="E303" s="7">
        <v>13</v>
      </c>
      <c r="F303" s="29">
        <v>505015</v>
      </c>
      <c r="G303" s="29">
        <v>459629.31743613101</v>
      </c>
      <c r="H303" s="29">
        <v>526057.29166666674</v>
      </c>
      <c r="I303" s="7">
        <v>96</v>
      </c>
      <c r="J303" s="7" t="s">
        <v>66</v>
      </c>
      <c r="K303" s="7">
        <v>768</v>
      </c>
      <c r="L303" s="7">
        <v>37</v>
      </c>
      <c r="M303" s="7" t="s">
        <v>59</v>
      </c>
      <c r="N303" s="10">
        <v>7.3842760486016623E-2</v>
      </c>
      <c r="O303" s="7">
        <v>0.3</v>
      </c>
      <c r="P303" s="7">
        <v>0.4</v>
      </c>
      <c r="R303" s="30">
        <f t="shared" si="37"/>
        <v>2020.06</v>
      </c>
      <c r="S303" s="7" t="str">
        <f t="shared" si="32"/>
        <v>&gt; 95</v>
      </c>
      <c r="T303" s="7" t="str">
        <f t="shared" si="33"/>
        <v>750-800</v>
      </c>
      <c r="U303" s="31">
        <f t="shared" si="34"/>
        <v>0.06</v>
      </c>
      <c r="V303" s="30">
        <f t="shared" si="35"/>
        <v>144783.23499238127</v>
      </c>
      <c r="W303" s="30">
        <f t="shared" si="36"/>
        <v>35462.085391270812</v>
      </c>
      <c r="X303" s="30">
        <f t="shared" si="38"/>
        <v>35462.085391270812</v>
      </c>
      <c r="Y303" s="30">
        <f t="shared" si="39"/>
        <v>2127.7251234762484</v>
      </c>
    </row>
    <row r="304" spans="1:25" x14ac:dyDescent="0.15">
      <c r="A304" s="7">
        <v>1300</v>
      </c>
      <c r="B304" s="19">
        <v>45434</v>
      </c>
      <c r="C304" s="7">
        <v>360</v>
      </c>
      <c r="D304" s="19">
        <v>45747</v>
      </c>
      <c r="E304" s="7">
        <v>10</v>
      </c>
      <c r="F304" s="29">
        <v>458261</v>
      </c>
      <c r="G304" s="29">
        <v>429899.93103557423</v>
      </c>
      <c r="H304" s="29">
        <v>514900</v>
      </c>
      <c r="I304" s="7">
        <v>89</v>
      </c>
      <c r="J304" s="7" t="s">
        <v>73</v>
      </c>
      <c r="K304" s="7">
        <v>681</v>
      </c>
      <c r="L304" s="7">
        <v>46</v>
      </c>
      <c r="M304" s="7" t="s">
        <v>59</v>
      </c>
      <c r="N304" s="10">
        <v>6.2986475197022621E-2</v>
      </c>
      <c r="O304" s="7">
        <v>0.12</v>
      </c>
      <c r="P304" s="7">
        <v>0.31</v>
      </c>
      <c r="R304" s="30">
        <f t="shared" si="37"/>
        <v>1420.6091000000001</v>
      </c>
      <c r="S304" s="7" t="str">
        <f t="shared" si="32"/>
        <v>85-90</v>
      </c>
      <c r="T304" s="7" t="str">
        <f t="shared" si="33"/>
        <v>650-700</v>
      </c>
      <c r="U304" s="31">
        <f t="shared" si="34"/>
        <v>0.04</v>
      </c>
      <c r="V304" s="30">
        <f t="shared" si="35"/>
        <v>54167.391310482359</v>
      </c>
      <c r="W304" s="30">
        <f t="shared" si="36"/>
        <v>13729.927587352984</v>
      </c>
      <c r="X304" s="30">
        <f t="shared" si="38"/>
        <v>13729.927587352984</v>
      </c>
      <c r="Y304" s="30">
        <f t="shared" si="39"/>
        <v>549.19710349411935</v>
      </c>
    </row>
    <row r="305" spans="1:25" x14ac:dyDescent="0.15">
      <c r="A305" s="7">
        <v>1301</v>
      </c>
      <c r="B305" s="19">
        <v>45443</v>
      </c>
      <c r="C305" s="7">
        <v>360</v>
      </c>
      <c r="D305" s="19">
        <v>45747</v>
      </c>
      <c r="E305" s="7">
        <v>10</v>
      </c>
      <c r="F305" s="29">
        <v>265568</v>
      </c>
      <c r="G305" s="29">
        <v>246601.79670040088</v>
      </c>
      <c r="H305" s="29">
        <v>273781.44329896907</v>
      </c>
      <c r="I305" s="7">
        <v>97</v>
      </c>
      <c r="J305" s="7" t="s">
        <v>61</v>
      </c>
      <c r="K305" s="7">
        <v>775</v>
      </c>
      <c r="L305" s="7">
        <v>17</v>
      </c>
      <c r="M305" s="7" t="s">
        <v>59</v>
      </c>
      <c r="N305" s="10">
        <v>7.7176062215927446E-2</v>
      </c>
      <c r="O305" s="7">
        <v>0.35</v>
      </c>
      <c r="P305" s="7">
        <v>0.45</v>
      </c>
      <c r="R305" s="30">
        <f t="shared" si="37"/>
        <v>1195.056</v>
      </c>
      <c r="S305" s="7" t="str">
        <f t="shared" si="32"/>
        <v>&gt; 95</v>
      </c>
      <c r="T305" s="7" t="str">
        <f t="shared" si="33"/>
        <v>750-800</v>
      </c>
      <c r="U305" s="31">
        <f t="shared" si="34"/>
        <v>0.06</v>
      </c>
      <c r="V305" s="30">
        <f t="shared" si="35"/>
        <v>90626.160287397317</v>
      </c>
      <c r="W305" s="30">
        <f t="shared" si="36"/>
        <v>26217.65973129723</v>
      </c>
      <c r="X305" s="30">
        <f t="shared" si="38"/>
        <v>26217.65973129723</v>
      </c>
      <c r="Y305" s="30">
        <f t="shared" si="39"/>
        <v>1573.0595838778338</v>
      </c>
    </row>
    <row r="306" spans="1:25" x14ac:dyDescent="0.15">
      <c r="A306" s="7">
        <v>1302</v>
      </c>
      <c r="B306" s="19">
        <v>45471</v>
      </c>
      <c r="C306" s="7">
        <v>360</v>
      </c>
      <c r="D306" s="19">
        <v>45747</v>
      </c>
      <c r="E306" s="7">
        <v>9</v>
      </c>
      <c r="F306" s="29">
        <v>230227</v>
      </c>
      <c r="G306" s="29">
        <v>216828.23278349181</v>
      </c>
      <c r="H306" s="29">
        <v>264628.7356321839</v>
      </c>
      <c r="I306" s="7">
        <v>87</v>
      </c>
      <c r="J306" s="7" t="s">
        <v>69</v>
      </c>
      <c r="K306" s="7">
        <v>810</v>
      </c>
      <c r="L306" s="7">
        <v>22</v>
      </c>
      <c r="M306" s="7" t="s">
        <v>59</v>
      </c>
      <c r="N306" s="10">
        <v>6.7206031627532956E-2</v>
      </c>
      <c r="O306" s="7">
        <v>0.12</v>
      </c>
      <c r="P306" s="7">
        <v>0.44</v>
      </c>
      <c r="R306" s="30">
        <f t="shared" si="37"/>
        <v>1012.9988000000001</v>
      </c>
      <c r="S306" s="7" t="str">
        <f t="shared" si="32"/>
        <v>85-90</v>
      </c>
      <c r="T306" s="7" t="str">
        <f t="shared" si="33"/>
        <v>&gt; 800</v>
      </c>
      <c r="U306" s="31">
        <f t="shared" si="34"/>
        <v>0.01</v>
      </c>
      <c r="V306" s="30">
        <f t="shared" si="35"/>
        <v>27320.357330719966</v>
      </c>
      <c r="W306" s="30">
        <f t="shared" si="36"/>
        <v>2735.2191353100934</v>
      </c>
      <c r="X306" s="30">
        <f t="shared" si="38"/>
        <v>2735.2191353100934</v>
      </c>
      <c r="Y306" s="30">
        <f t="shared" si="39"/>
        <v>27.352191353100935</v>
      </c>
    </row>
    <row r="307" spans="1:25" x14ac:dyDescent="0.15">
      <c r="A307" s="7">
        <v>1303</v>
      </c>
      <c r="B307" s="19">
        <v>45342</v>
      </c>
      <c r="C307" s="7">
        <v>360</v>
      </c>
      <c r="D307" s="19">
        <v>45747</v>
      </c>
      <c r="E307" s="7">
        <v>13</v>
      </c>
      <c r="F307" s="29">
        <v>766665</v>
      </c>
      <c r="G307" s="29">
        <v>704140.67976498394</v>
      </c>
      <c r="H307" s="29">
        <v>923692.77108433738</v>
      </c>
      <c r="I307" s="7">
        <v>83</v>
      </c>
      <c r="J307" s="7" t="s">
        <v>74</v>
      </c>
      <c r="K307" s="7">
        <v>732</v>
      </c>
      <c r="L307" s="7">
        <v>34</v>
      </c>
      <c r="M307" s="7" t="s">
        <v>59</v>
      </c>
      <c r="N307" s="10">
        <v>6.4279281305714933E-2</v>
      </c>
      <c r="O307" s="7">
        <v>0.12</v>
      </c>
      <c r="P307" s="7">
        <v>0.2</v>
      </c>
      <c r="R307" s="30">
        <f t="shared" si="37"/>
        <v>1533.33</v>
      </c>
      <c r="S307" s="7" t="str">
        <f t="shared" si="32"/>
        <v>80-85</v>
      </c>
      <c r="T307" s="7" t="str">
        <f t="shared" si="33"/>
        <v>700-750</v>
      </c>
      <c r="U307" s="31">
        <f t="shared" si="34"/>
        <v>2.5000000000000001E-2</v>
      </c>
      <c r="V307" s="30">
        <f t="shared" si="35"/>
        <v>88721.725650387976</v>
      </c>
      <c r="W307" s="30">
        <f t="shared" si="36"/>
        <v>-45791.14166845358</v>
      </c>
      <c r="X307" s="30">
        <f t="shared" si="38"/>
        <v>0</v>
      </c>
      <c r="Y307" s="30">
        <f t="shared" si="39"/>
        <v>0</v>
      </c>
    </row>
    <row r="308" spans="1:25" x14ac:dyDescent="0.15">
      <c r="A308" s="7">
        <v>1304</v>
      </c>
      <c r="B308" s="19">
        <v>45473</v>
      </c>
      <c r="C308" s="7">
        <v>360</v>
      </c>
      <c r="D308" s="19">
        <v>45747</v>
      </c>
      <c r="E308" s="7">
        <v>9</v>
      </c>
      <c r="F308" s="29">
        <v>662199</v>
      </c>
      <c r="G308" s="29">
        <v>619534.30677841965</v>
      </c>
      <c r="H308" s="29">
        <v>735776.66666666663</v>
      </c>
      <c r="I308" s="7">
        <v>90</v>
      </c>
      <c r="J308" s="7" t="s">
        <v>62</v>
      </c>
      <c r="K308" s="7">
        <v>826</v>
      </c>
      <c r="L308" s="7">
        <v>15</v>
      </c>
      <c r="M308" s="7" t="s">
        <v>59</v>
      </c>
      <c r="N308" s="10">
        <v>7.7422339702197709E-2</v>
      </c>
      <c r="O308" s="7">
        <v>0.25</v>
      </c>
      <c r="P308" s="7">
        <v>0.23</v>
      </c>
      <c r="R308" s="30">
        <f t="shared" si="37"/>
        <v>1523.0577000000003</v>
      </c>
      <c r="S308" s="7" t="str">
        <f t="shared" si="32"/>
        <v>85-90</v>
      </c>
      <c r="T308" s="7" t="str">
        <f t="shared" si="33"/>
        <v>&gt; 800</v>
      </c>
      <c r="U308" s="31">
        <f t="shared" si="34"/>
        <v>0.01</v>
      </c>
      <c r="V308" s="30">
        <f t="shared" si="35"/>
        <v>162627.75552933518</v>
      </c>
      <c r="W308" s="30">
        <f t="shared" si="36"/>
        <v>25100.855450674077</v>
      </c>
      <c r="X308" s="30">
        <f t="shared" si="38"/>
        <v>25100.855450674077</v>
      </c>
      <c r="Y308" s="30">
        <f t="shared" si="39"/>
        <v>251.00855450674078</v>
      </c>
    </row>
    <row r="309" spans="1:25" x14ac:dyDescent="0.15">
      <c r="A309" s="7">
        <v>1305</v>
      </c>
      <c r="B309" s="19">
        <v>45356</v>
      </c>
      <c r="C309" s="7">
        <v>360</v>
      </c>
      <c r="D309" s="19">
        <v>45747</v>
      </c>
      <c r="E309" s="7">
        <v>12</v>
      </c>
      <c r="F309" s="29">
        <v>266658</v>
      </c>
      <c r="G309" s="29">
        <v>248425.43951984009</v>
      </c>
      <c r="H309" s="29">
        <v>283678.72340425535</v>
      </c>
      <c r="I309" s="7">
        <v>94</v>
      </c>
      <c r="J309" s="7" t="s">
        <v>64</v>
      </c>
      <c r="K309" s="7">
        <v>652</v>
      </c>
      <c r="L309" s="7">
        <v>4</v>
      </c>
      <c r="M309" s="7" t="s">
        <v>59</v>
      </c>
      <c r="N309" s="10">
        <v>5.5318039620798246E-2</v>
      </c>
      <c r="O309" s="7">
        <v>0.25</v>
      </c>
      <c r="P309" s="7">
        <v>0.35</v>
      </c>
      <c r="R309" s="30">
        <f t="shared" si="37"/>
        <v>933.30299999999988</v>
      </c>
      <c r="S309" s="7" t="str">
        <f t="shared" si="32"/>
        <v>90-95</v>
      </c>
      <c r="T309" s="7" t="str">
        <f t="shared" si="33"/>
        <v>650-700</v>
      </c>
      <c r="U309" s="31">
        <f t="shared" si="34"/>
        <v>7.0000000000000007E-2</v>
      </c>
      <c r="V309" s="30">
        <f t="shared" si="35"/>
        <v>65211.677873958026</v>
      </c>
      <c r="W309" s="30">
        <f t="shared" si="36"/>
        <v>19719.796602215065</v>
      </c>
      <c r="X309" s="30">
        <f t="shared" si="38"/>
        <v>19719.796602215065</v>
      </c>
      <c r="Y309" s="30">
        <f t="shared" si="39"/>
        <v>1380.3857621550546</v>
      </c>
    </row>
    <row r="310" spans="1:25" x14ac:dyDescent="0.15">
      <c r="A310" s="7">
        <v>1306</v>
      </c>
      <c r="B310" s="19">
        <v>45394</v>
      </c>
      <c r="C310" s="7">
        <v>360</v>
      </c>
      <c r="D310" s="19">
        <v>45747</v>
      </c>
      <c r="E310" s="7">
        <v>11</v>
      </c>
      <c r="F310" s="29">
        <v>113912</v>
      </c>
      <c r="G310" s="29">
        <v>106344.50309854774</v>
      </c>
      <c r="H310" s="29">
        <v>127991.01123595505</v>
      </c>
      <c r="I310" s="7">
        <v>89</v>
      </c>
      <c r="J310" s="7" t="s">
        <v>72</v>
      </c>
      <c r="K310" s="7">
        <v>699</v>
      </c>
      <c r="L310" s="7">
        <v>11</v>
      </c>
      <c r="M310" s="7" t="s">
        <v>59</v>
      </c>
      <c r="N310" s="10">
        <v>6.0680852280054799E-2</v>
      </c>
      <c r="O310" s="7">
        <v>0.12</v>
      </c>
      <c r="P310" s="7">
        <v>0.25</v>
      </c>
      <c r="R310" s="30">
        <f t="shared" si="37"/>
        <v>284.77999999999997</v>
      </c>
      <c r="S310" s="7" t="str">
        <f t="shared" si="32"/>
        <v>85-90</v>
      </c>
      <c r="T310" s="7" t="str">
        <f t="shared" si="33"/>
        <v>650-700</v>
      </c>
      <c r="U310" s="31">
        <f t="shared" si="34"/>
        <v>0.04</v>
      </c>
      <c r="V310" s="30">
        <f t="shared" si="35"/>
        <v>13399.407390417015</v>
      </c>
      <c r="W310" s="30">
        <f t="shared" si="36"/>
        <v>2869.3687029133289</v>
      </c>
      <c r="X310" s="30">
        <f t="shared" si="38"/>
        <v>2869.3687029133289</v>
      </c>
      <c r="Y310" s="30">
        <f t="shared" si="39"/>
        <v>114.77474811653316</v>
      </c>
    </row>
    <row r="311" spans="1:25" x14ac:dyDescent="0.15">
      <c r="A311" s="7">
        <v>1307</v>
      </c>
      <c r="B311" s="19">
        <v>45379</v>
      </c>
      <c r="C311" s="7">
        <v>360</v>
      </c>
      <c r="D311" s="19">
        <v>45747</v>
      </c>
      <c r="E311" s="7">
        <v>12</v>
      </c>
      <c r="F311" s="29">
        <v>797959</v>
      </c>
      <c r="G311" s="29">
        <v>731178.1480661761</v>
      </c>
      <c r="H311" s="29">
        <v>831207.29166666674</v>
      </c>
      <c r="I311" s="7">
        <v>96</v>
      </c>
      <c r="J311" s="7" t="s">
        <v>72</v>
      </c>
      <c r="K311" s="7">
        <v>617</v>
      </c>
      <c r="L311" s="7">
        <v>38</v>
      </c>
      <c r="M311" s="7" t="s">
        <v>59</v>
      </c>
      <c r="N311" s="10">
        <v>7.473680348148326E-2</v>
      </c>
      <c r="O311" s="7">
        <v>0.3</v>
      </c>
      <c r="P311" s="7">
        <v>0.41</v>
      </c>
      <c r="R311" s="30">
        <f t="shared" si="37"/>
        <v>3271.6318999999999</v>
      </c>
      <c r="S311" s="7" t="str">
        <f t="shared" si="32"/>
        <v>&gt; 95</v>
      </c>
      <c r="T311" s="7" t="str">
        <f t="shared" si="33"/>
        <v>&lt; 650</v>
      </c>
      <c r="U311" s="31">
        <f t="shared" si="34"/>
        <v>0.11</v>
      </c>
      <c r="V311" s="30">
        <f t="shared" si="35"/>
        <v>230321.11664084546</v>
      </c>
      <c r="W311" s="30">
        <f t="shared" si="36"/>
        <v>61210.857552818139</v>
      </c>
      <c r="X311" s="30">
        <f t="shared" si="38"/>
        <v>61210.857552818139</v>
      </c>
      <c r="Y311" s="30">
        <f t="shared" si="39"/>
        <v>6733.1943308099953</v>
      </c>
    </row>
    <row r="312" spans="1:25" x14ac:dyDescent="0.15">
      <c r="A312" s="7">
        <v>1308</v>
      </c>
      <c r="B312" s="19">
        <v>45421</v>
      </c>
      <c r="C312" s="7">
        <v>360</v>
      </c>
      <c r="D312" s="19">
        <v>45747</v>
      </c>
      <c r="E312" s="7">
        <v>10</v>
      </c>
      <c r="F312" s="29">
        <v>769980</v>
      </c>
      <c r="G312" s="29">
        <v>726937.19206588808</v>
      </c>
      <c r="H312" s="29">
        <v>927686.7469879518</v>
      </c>
      <c r="I312" s="7">
        <v>83</v>
      </c>
      <c r="J312" s="7" t="s">
        <v>66</v>
      </c>
      <c r="K312" s="7">
        <v>628</v>
      </c>
      <c r="L312" s="7">
        <v>28</v>
      </c>
      <c r="M312" s="7" t="s">
        <v>59</v>
      </c>
      <c r="N312" s="10">
        <v>5.3596075727103253E-2</v>
      </c>
      <c r="O312" s="7">
        <v>0.12</v>
      </c>
      <c r="P312" s="7">
        <v>0.4</v>
      </c>
      <c r="R312" s="30">
        <f t="shared" si="37"/>
        <v>3079.92</v>
      </c>
      <c r="S312" s="7" t="str">
        <f t="shared" si="32"/>
        <v>80-85</v>
      </c>
      <c r="T312" s="7" t="str">
        <f t="shared" si="33"/>
        <v>&lt; 650</v>
      </c>
      <c r="U312" s="31">
        <f t="shared" si="34"/>
        <v>0.04</v>
      </c>
      <c r="V312" s="30">
        <f t="shared" si="35"/>
        <v>91594.086200301899</v>
      </c>
      <c r="W312" s="30">
        <f t="shared" si="36"/>
        <v>-25249.683270576526</v>
      </c>
      <c r="X312" s="30">
        <f t="shared" si="38"/>
        <v>0</v>
      </c>
      <c r="Y312" s="30">
        <f t="shared" si="39"/>
        <v>0</v>
      </c>
    </row>
    <row r="313" spans="1:25" x14ac:dyDescent="0.15">
      <c r="A313" s="7">
        <v>1309</v>
      </c>
      <c r="B313" s="19">
        <v>45416</v>
      </c>
      <c r="C313" s="7">
        <v>360</v>
      </c>
      <c r="D313" s="19">
        <v>45747</v>
      </c>
      <c r="E313" s="7">
        <v>10</v>
      </c>
      <c r="F313" s="29">
        <v>790626</v>
      </c>
      <c r="G313" s="29">
        <v>734166.44460311776</v>
      </c>
      <c r="H313" s="29">
        <v>988282.5</v>
      </c>
      <c r="I313" s="7">
        <v>80</v>
      </c>
      <c r="J313" s="7" t="s">
        <v>72</v>
      </c>
      <c r="K313" s="7">
        <v>694</v>
      </c>
      <c r="L313" s="7">
        <v>9</v>
      </c>
      <c r="M313" s="7" t="s">
        <v>59</v>
      </c>
      <c r="N313" s="10">
        <v>7.7166938393911866E-2</v>
      </c>
      <c r="O313" s="7">
        <v>0.12</v>
      </c>
      <c r="P313" s="7">
        <v>0.26</v>
      </c>
      <c r="R313" s="30">
        <f t="shared" si="37"/>
        <v>2055.6276000000003</v>
      </c>
      <c r="S313" s="7" t="str">
        <f t="shared" si="32"/>
        <v>80-85</v>
      </c>
      <c r="T313" s="7" t="str">
        <f t="shared" si="33"/>
        <v>650-700</v>
      </c>
      <c r="U313" s="31">
        <f t="shared" si="34"/>
        <v>0.03</v>
      </c>
      <c r="V313" s="30">
        <f t="shared" si="35"/>
        <v>92504.972019992842</v>
      </c>
      <c r="W313" s="30">
        <f t="shared" si="36"/>
        <v>-69165.358166726306</v>
      </c>
      <c r="X313" s="30">
        <f t="shared" si="38"/>
        <v>0</v>
      </c>
      <c r="Y313" s="30">
        <f t="shared" si="39"/>
        <v>0</v>
      </c>
    </row>
    <row r="314" spans="1:25" x14ac:dyDescent="0.15">
      <c r="A314" s="7">
        <v>1310</v>
      </c>
      <c r="B314" s="19">
        <v>45347</v>
      </c>
      <c r="C314" s="7">
        <v>360</v>
      </c>
      <c r="D314" s="19">
        <v>45747</v>
      </c>
      <c r="E314" s="7">
        <v>13</v>
      </c>
      <c r="F314" s="29">
        <v>526075</v>
      </c>
      <c r="G314" s="29">
        <v>477085.01648325182</v>
      </c>
      <c r="H314" s="29">
        <v>542345.36082474224</v>
      </c>
      <c r="I314" s="7">
        <v>97</v>
      </c>
      <c r="J314" s="7" t="s">
        <v>65</v>
      </c>
      <c r="K314" s="7">
        <v>752</v>
      </c>
      <c r="L314" s="7">
        <v>19</v>
      </c>
      <c r="M314" s="7" t="s">
        <v>59</v>
      </c>
      <c r="N314" s="10">
        <v>7.7488846807026543E-2</v>
      </c>
      <c r="O314" s="7">
        <v>0.35</v>
      </c>
      <c r="P314" s="7">
        <v>0.35</v>
      </c>
      <c r="R314" s="30">
        <f t="shared" si="37"/>
        <v>1841.2625</v>
      </c>
      <c r="S314" s="7" t="str">
        <f t="shared" si="32"/>
        <v>&gt; 95</v>
      </c>
      <c r="T314" s="7" t="str">
        <f t="shared" si="33"/>
        <v>750-800</v>
      </c>
      <c r="U314" s="31">
        <f t="shared" si="34"/>
        <v>0.06</v>
      </c>
      <c r="V314" s="30">
        <f t="shared" si="35"/>
        <v>175328.74355759504</v>
      </c>
      <c r="W314" s="30">
        <f t="shared" si="36"/>
        <v>39945.710606383567</v>
      </c>
      <c r="X314" s="30">
        <f t="shared" si="38"/>
        <v>39945.710606383567</v>
      </c>
      <c r="Y314" s="30">
        <f t="shared" si="39"/>
        <v>2396.7426363830141</v>
      </c>
    </row>
    <row r="315" spans="1:25" x14ac:dyDescent="0.15">
      <c r="A315" s="7">
        <v>1311</v>
      </c>
      <c r="B315" s="19">
        <v>45404</v>
      </c>
      <c r="C315" s="7">
        <v>360</v>
      </c>
      <c r="D315" s="19">
        <v>45747</v>
      </c>
      <c r="E315" s="7">
        <v>11</v>
      </c>
      <c r="F315" s="29">
        <v>367977</v>
      </c>
      <c r="G315" s="29">
        <v>338538.94775184663</v>
      </c>
      <c r="H315" s="29">
        <v>404370.32967032964</v>
      </c>
      <c r="I315" s="7">
        <v>91</v>
      </c>
      <c r="J315" s="7" t="s">
        <v>67</v>
      </c>
      <c r="K315" s="7">
        <v>683</v>
      </c>
      <c r="L315" s="7">
        <v>15</v>
      </c>
      <c r="M315" s="7" t="s">
        <v>59</v>
      </c>
      <c r="N315" s="10">
        <v>7.9066877763956919E-2</v>
      </c>
      <c r="O315" s="7">
        <v>0.25</v>
      </c>
      <c r="P315" s="7">
        <v>0.21</v>
      </c>
      <c r="R315" s="30">
        <f t="shared" si="37"/>
        <v>772.75170000000003</v>
      </c>
      <c r="S315" s="7" t="str">
        <f t="shared" si="32"/>
        <v>90-95</v>
      </c>
      <c r="T315" s="7" t="str">
        <f t="shared" si="33"/>
        <v>650-700</v>
      </c>
      <c r="U315" s="31">
        <f t="shared" si="34"/>
        <v>7.0000000000000007E-2</v>
      </c>
      <c r="V315" s="30">
        <f t="shared" si="35"/>
        <v>88866.473784859743</v>
      </c>
      <c r="W315" s="30">
        <f t="shared" si="36"/>
        <v>11751.114919658809</v>
      </c>
      <c r="X315" s="30">
        <f t="shared" si="38"/>
        <v>11751.114919658809</v>
      </c>
      <c r="Y315" s="30">
        <f t="shared" si="39"/>
        <v>822.57804437611662</v>
      </c>
    </row>
    <row r="316" spans="1:25" x14ac:dyDescent="0.15">
      <c r="A316" s="7">
        <v>1312</v>
      </c>
      <c r="B316" s="19">
        <v>45457</v>
      </c>
      <c r="C316" s="7">
        <v>360</v>
      </c>
      <c r="D316" s="19">
        <v>45747</v>
      </c>
      <c r="E316" s="7">
        <v>9</v>
      </c>
      <c r="F316" s="29">
        <v>581142</v>
      </c>
      <c r="G316" s="29">
        <v>550880.19140305475</v>
      </c>
      <c r="H316" s="29">
        <v>652968.53932584263</v>
      </c>
      <c r="I316" s="7">
        <v>89</v>
      </c>
      <c r="J316" s="7" t="s">
        <v>61</v>
      </c>
      <c r="K316" s="7">
        <v>615</v>
      </c>
      <c r="L316" s="7">
        <v>21</v>
      </c>
      <c r="M316" s="7" t="s">
        <v>59</v>
      </c>
      <c r="N316" s="10">
        <v>5.6713938984321803E-2</v>
      </c>
      <c r="O316" s="7">
        <v>0.12</v>
      </c>
      <c r="P316" s="7">
        <v>0.3</v>
      </c>
      <c r="R316" s="30">
        <f t="shared" si="37"/>
        <v>1743.4260000000002</v>
      </c>
      <c r="S316" s="7" t="str">
        <f t="shared" si="32"/>
        <v>85-90</v>
      </c>
      <c r="T316" s="7" t="str">
        <f t="shared" si="33"/>
        <v>&lt; 650</v>
      </c>
      <c r="U316" s="31">
        <f t="shared" si="34"/>
        <v>0.05</v>
      </c>
      <c r="V316" s="30">
        <f t="shared" si="35"/>
        <v>69410.904116784892</v>
      </c>
      <c r="W316" s="30">
        <f t="shared" si="36"/>
        <v>23400.942546241218</v>
      </c>
      <c r="X316" s="30">
        <f t="shared" si="38"/>
        <v>23400.942546241218</v>
      </c>
      <c r="Y316" s="30">
        <f t="shared" si="39"/>
        <v>1170.0471273120609</v>
      </c>
    </row>
    <row r="317" spans="1:25" x14ac:dyDescent="0.15">
      <c r="A317" s="7">
        <v>1313</v>
      </c>
      <c r="B317" s="19">
        <v>45382</v>
      </c>
      <c r="C317" s="7">
        <v>360</v>
      </c>
      <c r="D317" s="19">
        <v>45747</v>
      </c>
      <c r="E317" s="7">
        <v>12</v>
      </c>
      <c r="F317" s="29">
        <v>670133</v>
      </c>
      <c r="G317" s="29">
        <v>626308.20165757975</v>
      </c>
      <c r="H317" s="29">
        <v>728405.43478260865</v>
      </c>
      <c r="I317" s="7">
        <v>92</v>
      </c>
      <c r="J317" s="7" t="s">
        <v>69</v>
      </c>
      <c r="K317" s="7">
        <v>762</v>
      </c>
      <c r="L317" s="7">
        <v>17</v>
      </c>
      <c r="M317" s="7" t="s">
        <v>59</v>
      </c>
      <c r="N317" s="10">
        <v>5.1329523161909724E-2</v>
      </c>
      <c r="O317" s="7">
        <v>0.25</v>
      </c>
      <c r="P317" s="7">
        <v>0.28999999999999998</v>
      </c>
      <c r="R317" s="30">
        <f t="shared" si="37"/>
        <v>1943.3856999999998</v>
      </c>
      <c r="S317" s="7" t="str">
        <f t="shared" si="32"/>
        <v>90-95</v>
      </c>
      <c r="T317" s="7" t="str">
        <f t="shared" si="33"/>
        <v>750-800</v>
      </c>
      <c r="U317" s="31">
        <f t="shared" si="34"/>
        <v>0.05</v>
      </c>
      <c r="V317" s="30">
        <f t="shared" si="35"/>
        <v>164405.90293511469</v>
      </c>
      <c r="W317" s="30">
        <f t="shared" si="36"/>
        <v>38478.992175241467</v>
      </c>
      <c r="X317" s="30">
        <f t="shared" si="38"/>
        <v>38478.992175241467</v>
      </c>
      <c r="Y317" s="30">
        <f t="shared" si="39"/>
        <v>1923.9496087620735</v>
      </c>
    </row>
    <row r="318" spans="1:25" x14ac:dyDescent="0.15">
      <c r="A318" s="7">
        <v>1314</v>
      </c>
      <c r="B318" s="19">
        <v>45340</v>
      </c>
      <c r="C318" s="7">
        <v>360</v>
      </c>
      <c r="D318" s="19">
        <v>45747</v>
      </c>
      <c r="E318" s="7">
        <v>13</v>
      </c>
      <c r="F318" s="29">
        <v>681969</v>
      </c>
      <c r="G318" s="29">
        <v>624030.37921120494</v>
      </c>
      <c r="H318" s="29">
        <v>852461.25</v>
      </c>
      <c r="I318" s="7">
        <v>80</v>
      </c>
      <c r="J318" s="7" t="s">
        <v>72</v>
      </c>
      <c r="K318" s="7">
        <v>741</v>
      </c>
      <c r="L318" s="7">
        <v>15</v>
      </c>
      <c r="M318" s="7" t="s">
        <v>59</v>
      </c>
      <c r="N318" s="10">
        <v>6.823959124699043E-2</v>
      </c>
      <c r="O318" s="7">
        <v>0.12</v>
      </c>
      <c r="P318" s="7">
        <v>0.39</v>
      </c>
      <c r="R318" s="30">
        <f t="shared" si="37"/>
        <v>2659.6791000000003</v>
      </c>
      <c r="S318" s="7" t="str">
        <f t="shared" si="32"/>
        <v>80-85</v>
      </c>
      <c r="T318" s="7" t="str">
        <f t="shared" si="33"/>
        <v>700-750</v>
      </c>
      <c r="U318" s="31">
        <f t="shared" si="34"/>
        <v>2.5000000000000001E-2</v>
      </c>
      <c r="V318" s="30">
        <f t="shared" si="35"/>
        <v>78627.827780611828</v>
      </c>
      <c r="W318" s="30">
        <f t="shared" si="36"/>
        <v>-69360.164328234736</v>
      </c>
      <c r="X318" s="30">
        <f t="shared" si="38"/>
        <v>0</v>
      </c>
      <c r="Y318" s="30">
        <f t="shared" si="39"/>
        <v>0</v>
      </c>
    </row>
    <row r="319" spans="1:25" x14ac:dyDescent="0.15">
      <c r="A319" s="7">
        <v>1315</v>
      </c>
      <c r="B319" s="19">
        <v>45448</v>
      </c>
      <c r="C319" s="7">
        <v>360</v>
      </c>
      <c r="D319" s="19">
        <v>45747</v>
      </c>
      <c r="E319" s="7">
        <v>9</v>
      </c>
      <c r="F319" s="29">
        <v>799368</v>
      </c>
      <c r="G319" s="29">
        <v>756418.96905627521</v>
      </c>
      <c r="H319" s="29">
        <v>824090.72164948459</v>
      </c>
      <c r="I319" s="7">
        <v>97</v>
      </c>
      <c r="J319" s="7" t="s">
        <v>61</v>
      </c>
      <c r="K319" s="7">
        <v>678</v>
      </c>
      <c r="L319" s="7">
        <v>29</v>
      </c>
      <c r="M319" s="7" t="s">
        <v>59</v>
      </c>
      <c r="N319" s="10">
        <v>5.9600727157208967E-2</v>
      </c>
      <c r="O319" s="7">
        <v>0.35</v>
      </c>
      <c r="P319" s="7">
        <v>0.42</v>
      </c>
      <c r="R319" s="30">
        <f t="shared" si="37"/>
        <v>3357.3456000000001</v>
      </c>
      <c r="S319" s="7" t="str">
        <f t="shared" si="32"/>
        <v>&gt; 95</v>
      </c>
      <c r="T319" s="7" t="str">
        <f t="shared" si="33"/>
        <v>650-700</v>
      </c>
      <c r="U319" s="31">
        <f t="shared" si="34"/>
        <v>0.08</v>
      </c>
      <c r="V319" s="30">
        <f t="shared" si="35"/>
        <v>277983.97112818115</v>
      </c>
      <c r="W319" s="30">
        <f t="shared" si="36"/>
        <v>93762.804107027128</v>
      </c>
      <c r="X319" s="30">
        <f t="shared" si="38"/>
        <v>93762.804107027128</v>
      </c>
      <c r="Y319" s="30">
        <f t="shared" si="39"/>
        <v>7501.02432856217</v>
      </c>
    </row>
    <row r="320" spans="1:25" x14ac:dyDescent="0.15">
      <c r="A320" s="7">
        <v>1316</v>
      </c>
      <c r="B320" s="19">
        <v>45305</v>
      </c>
      <c r="C320" s="7">
        <v>360</v>
      </c>
      <c r="D320" s="19">
        <v>45747</v>
      </c>
      <c r="E320" s="7">
        <v>14</v>
      </c>
      <c r="F320" s="29">
        <v>314122</v>
      </c>
      <c r="G320" s="29">
        <v>288306.6265772382</v>
      </c>
      <c r="H320" s="29">
        <v>327210.41666666669</v>
      </c>
      <c r="I320" s="7">
        <v>96</v>
      </c>
      <c r="J320" s="7" t="s">
        <v>73</v>
      </c>
      <c r="K320" s="7">
        <v>825</v>
      </c>
      <c r="L320" s="7">
        <v>16</v>
      </c>
      <c r="M320" s="7" t="s">
        <v>59</v>
      </c>
      <c r="N320" s="10">
        <v>5.8041731635820354E-2</v>
      </c>
      <c r="O320" s="7">
        <v>0.3</v>
      </c>
      <c r="P320" s="7">
        <v>0.24</v>
      </c>
      <c r="R320" s="30">
        <f t="shared" si="37"/>
        <v>753.89279999999997</v>
      </c>
      <c r="S320" s="7" t="str">
        <f t="shared" si="32"/>
        <v>&gt; 95</v>
      </c>
      <c r="T320" s="7" t="str">
        <f t="shared" si="33"/>
        <v>&gt; 800</v>
      </c>
      <c r="U320" s="31">
        <f t="shared" si="34"/>
        <v>0.05</v>
      </c>
      <c r="V320" s="30">
        <f t="shared" si="35"/>
        <v>90816.587371830043</v>
      </c>
      <c r="W320" s="30">
        <f t="shared" si="36"/>
        <v>24593.103739433456</v>
      </c>
      <c r="X320" s="30">
        <f t="shared" si="38"/>
        <v>24593.103739433456</v>
      </c>
      <c r="Y320" s="30">
        <f t="shared" si="39"/>
        <v>1229.6551869716729</v>
      </c>
    </row>
    <row r="321" spans="1:25" x14ac:dyDescent="0.15">
      <c r="A321" s="7">
        <v>1317</v>
      </c>
      <c r="B321" s="19">
        <v>45361</v>
      </c>
      <c r="C321" s="7">
        <v>360</v>
      </c>
      <c r="D321" s="19">
        <v>45747</v>
      </c>
      <c r="E321" s="7">
        <v>12</v>
      </c>
      <c r="F321" s="29">
        <v>780666</v>
      </c>
      <c r="G321" s="29">
        <v>720762.22061003919</v>
      </c>
      <c r="H321" s="29">
        <v>952031.70731707325</v>
      </c>
      <c r="I321" s="7">
        <v>82</v>
      </c>
      <c r="J321" s="7" t="s">
        <v>71</v>
      </c>
      <c r="K321" s="7">
        <v>849</v>
      </c>
      <c r="L321" s="7">
        <v>4</v>
      </c>
      <c r="M321" s="7" t="s">
        <v>59</v>
      </c>
      <c r="N321" s="10">
        <v>6.6120003629078855E-2</v>
      </c>
      <c r="O321" s="7">
        <v>0.12</v>
      </c>
      <c r="P321" s="7">
        <v>0.45</v>
      </c>
      <c r="R321" s="30">
        <f t="shared" si="37"/>
        <v>3512.9970000000003</v>
      </c>
      <c r="S321" s="7" t="str">
        <f t="shared" si="32"/>
        <v>80-85</v>
      </c>
      <c r="T321" s="7" t="str">
        <f t="shared" si="33"/>
        <v>&gt; 800</v>
      </c>
      <c r="U321" s="31">
        <f t="shared" si="34"/>
        <v>0.01</v>
      </c>
      <c r="V321" s="30">
        <f t="shared" si="35"/>
        <v>90816.039796864934</v>
      </c>
      <c r="W321" s="30">
        <f t="shared" si="36"/>
        <v>-52426.619578971062</v>
      </c>
      <c r="X321" s="30">
        <f t="shared" si="38"/>
        <v>0</v>
      </c>
      <c r="Y321" s="30">
        <f t="shared" si="39"/>
        <v>0</v>
      </c>
    </row>
    <row r="322" spans="1:25" x14ac:dyDescent="0.15">
      <c r="A322" s="7">
        <v>1318</v>
      </c>
      <c r="B322" s="19">
        <v>45424</v>
      </c>
      <c r="C322" s="7">
        <v>360</v>
      </c>
      <c r="D322" s="19">
        <v>45747</v>
      </c>
      <c r="E322" s="7">
        <v>10</v>
      </c>
      <c r="F322" s="29">
        <v>751000</v>
      </c>
      <c r="G322" s="29">
        <v>707463.72706952144</v>
      </c>
      <c r="H322" s="29">
        <v>798936.17021276604</v>
      </c>
      <c r="I322" s="7">
        <v>94</v>
      </c>
      <c r="J322" s="7" t="s">
        <v>61</v>
      </c>
      <c r="K322" s="7">
        <v>819</v>
      </c>
      <c r="L322" s="7">
        <v>26</v>
      </c>
      <c r="M322" s="7" t="s">
        <v>59</v>
      </c>
      <c r="N322" s="10">
        <v>5.6891129528783876E-2</v>
      </c>
      <c r="O322" s="7">
        <v>0.25</v>
      </c>
      <c r="P322" s="7">
        <v>0.38</v>
      </c>
      <c r="R322" s="30">
        <f t="shared" si="37"/>
        <v>2853.8</v>
      </c>
      <c r="S322" s="7" t="str">
        <f t="shared" si="32"/>
        <v>90-95</v>
      </c>
      <c r="T322" s="7" t="str">
        <f t="shared" si="33"/>
        <v>&gt; 800</v>
      </c>
      <c r="U322" s="31">
        <f t="shared" si="34"/>
        <v>0.04</v>
      </c>
      <c r="V322" s="30">
        <f t="shared" si="35"/>
        <v>185709.22835574939</v>
      </c>
      <c r="W322" s="30">
        <f t="shared" si="36"/>
        <v>63741.168742146459</v>
      </c>
      <c r="X322" s="30">
        <f t="shared" si="38"/>
        <v>63741.168742146459</v>
      </c>
      <c r="Y322" s="30">
        <f t="shared" si="39"/>
        <v>2549.6467496858586</v>
      </c>
    </row>
    <row r="323" spans="1:25" x14ac:dyDescent="0.15">
      <c r="A323" s="7">
        <v>1319</v>
      </c>
      <c r="B323" s="19">
        <v>45472</v>
      </c>
      <c r="C323" s="7">
        <v>360</v>
      </c>
      <c r="D323" s="19">
        <v>45747</v>
      </c>
      <c r="E323" s="7">
        <v>9</v>
      </c>
      <c r="F323" s="29">
        <v>682493</v>
      </c>
      <c r="G323" s="29">
        <v>645147.37917776965</v>
      </c>
      <c r="H323" s="29">
        <v>812491.66666666674</v>
      </c>
      <c r="I323" s="7">
        <v>84</v>
      </c>
      <c r="J323" s="7" t="s">
        <v>61</v>
      </c>
      <c r="K323" s="7">
        <v>614</v>
      </c>
      <c r="L323" s="7">
        <v>46</v>
      </c>
      <c r="M323" s="7" t="s">
        <v>59</v>
      </c>
      <c r="N323" s="10">
        <v>6.1309219673004629E-2</v>
      </c>
      <c r="O323" s="7">
        <v>0.12</v>
      </c>
      <c r="P323" s="7">
        <v>0.21</v>
      </c>
      <c r="R323" s="30">
        <f t="shared" si="37"/>
        <v>1433.2353000000001</v>
      </c>
      <c r="S323" s="7" t="str">
        <f t="shared" si="32"/>
        <v>80-85</v>
      </c>
      <c r="T323" s="7" t="str">
        <f t="shared" si="33"/>
        <v>&lt; 650</v>
      </c>
      <c r="U323" s="31">
        <f t="shared" si="34"/>
        <v>0.04</v>
      </c>
      <c r="V323" s="30">
        <f t="shared" si="35"/>
        <v>81288.569776398974</v>
      </c>
      <c r="W323" s="30">
        <f t="shared" si="36"/>
        <v>-13213.168530008639</v>
      </c>
      <c r="X323" s="30">
        <f t="shared" si="38"/>
        <v>0</v>
      </c>
      <c r="Y323" s="30">
        <f t="shared" si="39"/>
        <v>0</v>
      </c>
    </row>
    <row r="324" spans="1:25" x14ac:dyDescent="0.15">
      <c r="A324" s="7">
        <v>1320</v>
      </c>
      <c r="B324" s="19">
        <v>45410</v>
      </c>
      <c r="C324" s="7">
        <v>360</v>
      </c>
      <c r="D324" s="19">
        <v>45747</v>
      </c>
      <c r="E324" s="7">
        <v>11</v>
      </c>
      <c r="F324" s="29">
        <v>297886</v>
      </c>
      <c r="G324" s="29">
        <v>276406.56229639845</v>
      </c>
      <c r="H324" s="29">
        <v>367760.49382716045</v>
      </c>
      <c r="I324" s="7">
        <v>81</v>
      </c>
      <c r="J324" s="7" t="s">
        <v>69</v>
      </c>
      <c r="K324" s="7">
        <v>743</v>
      </c>
      <c r="L324" s="7">
        <v>2</v>
      </c>
      <c r="M324" s="7" t="s">
        <v>59</v>
      </c>
      <c r="N324" s="10">
        <v>6.8537751206766917E-2</v>
      </c>
      <c r="O324" s="7">
        <v>0.12</v>
      </c>
      <c r="P324" s="7">
        <v>0.39</v>
      </c>
      <c r="R324" s="30">
        <f t="shared" si="37"/>
        <v>1161.7554</v>
      </c>
      <c r="S324" s="7" t="str">
        <f t="shared" si="32"/>
        <v>80-85</v>
      </c>
      <c r="T324" s="7" t="str">
        <f t="shared" si="33"/>
        <v>700-750</v>
      </c>
      <c r="U324" s="31">
        <f t="shared" si="34"/>
        <v>2.5000000000000001E-2</v>
      </c>
      <c r="V324" s="30">
        <f t="shared" si="35"/>
        <v>34827.226849346203</v>
      </c>
      <c r="W324" s="30">
        <f t="shared" si="36"/>
        <v>-22369.52934186795</v>
      </c>
      <c r="X324" s="30">
        <f t="shared" si="38"/>
        <v>0</v>
      </c>
      <c r="Y324" s="30">
        <f t="shared" si="39"/>
        <v>0</v>
      </c>
    </row>
    <row r="325" spans="1:25" x14ac:dyDescent="0.15">
      <c r="A325" s="7">
        <v>1321</v>
      </c>
      <c r="B325" s="19">
        <v>45406</v>
      </c>
      <c r="C325" s="7">
        <v>360</v>
      </c>
      <c r="D325" s="19">
        <v>45747</v>
      </c>
      <c r="E325" s="7">
        <v>11</v>
      </c>
      <c r="F325" s="29">
        <v>544102</v>
      </c>
      <c r="G325" s="29">
        <v>505011.84555661824</v>
      </c>
      <c r="H325" s="29">
        <v>591415.21739130432</v>
      </c>
      <c r="I325" s="7">
        <v>92</v>
      </c>
      <c r="J325" s="7" t="s">
        <v>60</v>
      </c>
      <c r="K325" s="7">
        <v>636</v>
      </c>
      <c r="L325" s="7">
        <v>6</v>
      </c>
      <c r="M325" s="7" t="s">
        <v>59</v>
      </c>
      <c r="N325" s="10">
        <v>6.8179618760065508E-2</v>
      </c>
      <c r="O325" s="7">
        <v>0.25</v>
      </c>
      <c r="P325" s="7">
        <v>0.4</v>
      </c>
      <c r="R325" s="30">
        <f t="shared" si="37"/>
        <v>2176.4080000000004</v>
      </c>
      <c r="S325" s="7" t="str">
        <f t="shared" ref="S325:S388" si="40">_xlfn.IFS(I325&lt;80,"&lt; 80",AND(I325&gt;=80,I325&lt;=85),"80-85",AND(I325&gt;85,I325&lt;=90),"85-90",AND(I325&gt;90,I325&lt;=95),"90-95",I325&gt;95,"&gt; 95")</f>
        <v>90-95</v>
      </c>
      <c r="T325" s="7" t="str">
        <f t="shared" ref="T325:T388" si="41">_xlfn.IFS(K325&lt;650,"&lt; 650",AND(K325&gt;=650,K325&lt;=700),"650-700",AND(K325&gt;700,K325&lt;=750),"700-750",AND(K325&gt;750,K325&lt;=800),"750-800",K325&gt;800,"&gt; 800")</f>
        <v>&lt; 650</v>
      </c>
      <c r="U325" s="31">
        <f t="shared" ref="U325:U388" si="42">INDEX(LTV_FICO_DefaultRates,MATCH(S325,LTV_DefaultTable,0),MATCH(T325,FICO_DefaultTabe,0))</f>
        <v>0.08</v>
      </c>
      <c r="V325" s="30">
        <f t="shared" ref="V325:V388" si="43">((G325*(1+Expense_Loading))*O325)</f>
        <v>132565.60945861231</v>
      </c>
      <c r="W325" s="30">
        <f t="shared" ref="W325:W388" si="44">(G325*(1+Expense_Loading))-(H325*(1+HPI_Movement))</f>
        <v>27559.503051840584</v>
      </c>
      <c r="X325" s="30">
        <f t="shared" si="38"/>
        <v>27559.503051840584</v>
      </c>
      <c r="Y325" s="30">
        <f t="shared" si="39"/>
        <v>2204.7602441472468</v>
      </c>
    </row>
    <row r="326" spans="1:25" x14ac:dyDescent="0.15">
      <c r="A326" s="7">
        <v>1322</v>
      </c>
      <c r="B326" s="19">
        <v>45348</v>
      </c>
      <c r="C326" s="7">
        <v>360</v>
      </c>
      <c r="D326" s="19">
        <v>45747</v>
      </c>
      <c r="E326" s="7">
        <v>13</v>
      </c>
      <c r="F326" s="29">
        <v>570718</v>
      </c>
      <c r="G326" s="29">
        <v>516622.00721750595</v>
      </c>
      <c r="H326" s="29">
        <v>627162.63736263732</v>
      </c>
      <c r="I326" s="7">
        <v>91</v>
      </c>
      <c r="J326" s="7" t="s">
        <v>61</v>
      </c>
      <c r="K326" s="7">
        <v>802</v>
      </c>
      <c r="L326" s="7">
        <v>18</v>
      </c>
      <c r="M326" s="7" t="s">
        <v>59</v>
      </c>
      <c r="N326" s="10">
        <v>7.9333261883768338E-2</v>
      </c>
      <c r="O326" s="7">
        <v>0.25</v>
      </c>
      <c r="P326" s="7">
        <v>0.33</v>
      </c>
      <c r="R326" s="30">
        <f t="shared" ref="R326:R389" si="45">P326*F326/100</f>
        <v>1883.3694</v>
      </c>
      <c r="S326" s="7" t="str">
        <f t="shared" si="40"/>
        <v>90-95</v>
      </c>
      <c r="T326" s="7" t="str">
        <f t="shared" si="41"/>
        <v>&gt; 800</v>
      </c>
      <c r="U326" s="31">
        <f t="shared" si="42"/>
        <v>0.04</v>
      </c>
      <c r="V326" s="30">
        <f t="shared" si="43"/>
        <v>135613.27689459533</v>
      </c>
      <c r="W326" s="30">
        <f t="shared" si="44"/>
        <v>9364.8658201396465</v>
      </c>
      <c r="X326" s="30">
        <f t="shared" ref="X326:X389" si="46">MAX(MIN(V326,W326),0)</f>
        <v>9364.8658201396465</v>
      </c>
      <c r="Y326" s="30">
        <f t="shared" ref="Y326:Y389" si="47">X326*U326</f>
        <v>374.59463280558589</v>
      </c>
    </row>
    <row r="327" spans="1:25" x14ac:dyDescent="0.15">
      <c r="A327" s="7">
        <v>1323</v>
      </c>
      <c r="B327" s="19">
        <v>45341</v>
      </c>
      <c r="C327" s="7">
        <v>360</v>
      </c>
      <c r="D327" s="19">
        <v>45747</v>
      </c>
      <c r="E327" s="7">
        <v>13</v>
      </c>
      <c r="F327" s="29">
        <v>370678</v>
      </c>
      <c r="G327" s="29">
        <v>338994.34165451193</v>
      </c>
      <c r="H327" s="29">
        <v>431020.93023255817</v>
      </c>
      <c r="I327" s="7">
        <v>86</v>
      </c>
      <c r="J327" s="7" t="s">
        <v>66</v>
      </c>
      <c r="K327" s="7">
        <v>798</v>
      </c>
      <c r="L327" s="7">
        <v>21</v>
      </c>
      <c r="M327" s="7" t="s">
        <v>59</v>
      </c>
      <c r="N327" s="10">
        <v>6.8835332653304701E-2</v>
      </c>
      <c r="O327" s="7">
        <v>0.12</v>
      </c>
      <c r="P327" s="7">
        <v>0.42</v>
      </c>
      <c r="R327" s="30">
        <f t="shared" si="45"/>
        <v>1556.8475999999998</v>
      </c>
      <c r="S327" s="7" t="str">
        <f t="shared" si="40"/>
        <v>85-90</v>
      </c>
      <c r="T327" s="7" t="str">
        <f t="shared" si="41"/>
        <v>750-800</v>
      </c>
      <c r="U327" s="31">
        <f t="shared" si="42"/>
        <v>0.02</v>
      </c>
      <c r="V327" s="30">
        <f t="shared" si="43"/>
        <v>42713.287048468505</v>
      </c>
      <c r="W327" s="30">
        <f t="shared" si="44"/>
        <v>-10423.731960436911</v>
      </c>
      <c r="X327" s="30">
        <f t="shared" si="46"/>
        <v>0</v>
      </c>
      <c r="Y327" s="30">
        <f t="shared" si="47"/>
        <v>0</v>
      </c>
    </row>
    <row r="328" spans="1:25" x14ac:dyDescent="0.15">
      <c r="A328" s="7">
        <v>1324</v>
      </c>
      <c r="B328" s="19">
        <v>45453</v>
      </c>
      <c r="C328" s="7">
        <v>360</v>
      </c>
      <c r="D328" s="19">
        <v>45747</v>
      </c>
      <c r="E328" s="7">
        <v>9</v>
      </c>
      <c r="F328" s="29">
        <v>351171</v>
      </c>
      <c r="G328" s="29">
        <v>328059.69617944612</v>
      </c>
      <c r="H328" s="29">
        <v>369653.68421052635</v>
      </c>
      <c r="I328" s="7">
        <v>95</v>
      </c>
      <c r="J328" s="7" t="s">
        <v>71</v>
      </c>
      <c r="K328" s="7">
        <v>765</v>
      </c>
      <c r="L328" s="7">
        <v>38</v>
      </c>
      <c r="M328" s="7" t="s">
        <v>59</v>
      </c>
      <c r="N328" s="10">
        <v>7.9638441394074236E-2</v>
      </c>
      <c r="O328" s="7">
        <v>0.3</v>
      </c>
      <c r="P328" s="7">
        <v>0.41</v>
      </c>
      <c r="R328" s="30">
        <f t="shared" si="45"/>
        <v>1439.8010999999999</v>
      </c>
      <c r="S328" s="7" t="str">
        <f t="shared" si="40"/>
        <v>90-95</v>
      </c>
      <c r="T328" s="7" t="str">
        <f t="shared" si="41"/>
        <v>750-800</v>
      </c>
      <c r="U328" s="31">
        <f t="shared" si="42"/>
        <v>0.05</v>
      </c>
      <c r="V328" s="30">
        <f t="shared" si="43"/>
        <v>103338.80429652553</v>
      </c>
      <c r="W328" s="30">
        <f t="shared" si="44"/>
        <v>30257.049409471045</v>
      </c>
      <c r="X328" s="30">
        <f t="shared" si="46"/>
        <v>30257.049409471045</v>
      </c>
      <c r="Y328" s="30">
        <f t="shared" si="47"/>
        <v>1512.8524704735523</v>
      </c>
    </row>
    <row r="329" spans="1:25" x14ac:dyDescent="0.15">
      <c r="A329" s="7">
        <v>1325</v>
      </c>
      <c r="B329" s="19">
        <v>45425</v>
      </c>
      <c r="C329" s="7">
        <v>360</v>
      </c>
      <c r="D329" s="19">
        <v>45747</v>
      </c>
      <c r="E329" s="7">
        <v>10</v>
      </c>
      <c r="F329" s="29">
        <v>412828</v>
      </c>
      <c r="G329" s="29">
        <v>389887.52797788975</v>
      </c>
      <c r="H329" s="29">
        <v>439178.72340425535</v>
      </c>
      <c r="I329" s="7">
        <v>94</v>
      </c>
      <c r="J329" s="7" t="s">
        <v>66</v>
      </c>
      <c r="K329" s="7">
        <v>604</v>
      </c>
      <c r="L329" s="7">
        <v>12</v>
      </c>
      <c r="M329" s="7" t="s">
        <v>59</v>
      </c>
      <c r="N329" s="10">
        <v>5.3062170926708216E-2</v>
      </c>
      <c r="O329" s="7">
        <v>0.25</v>
      </c>
      <c r="P329" s="7">
        <v>0.31</v>
      </c>
      <c r="R329" s="30">
        <f t="shared" si="45"/>
        <v>1279.7667999999999</v>
      </c>
      <c r="S329" s="7" t="str">
        <f t="shared" si="40"/>
        <v>90-95</v>
      </c>
      <c r="T329" s="7" t="str">
        <f t="shared" si="41"/>
        <v>&lt; 650</v>
      </c>
      <c r="U329" s="31">
        <f t="shared" si="42"/>
        <v>0.08</v>
      </c>
      <c r="V329" s="30">
        <f t="shared" si="43"/>
        <v>102345.47609419607</v>
      </c>
      <c r="W329" s="30">
        <f t="shared" si="44"/>
        <v>36079.989483167243</v>
      </c>
      <c r="X329" s="30">
        <f t="shared" si="46"/>
        <v>36079.989483167243</v>
      </c>
      <c r="Y329" s="30">
        <f t="shared" si="47"/>
        <v>2886.3991586533793</v>
      </c>
    </row>
    <row r="330" spans="1:25" x14ac:dyDescent="0.15">
      <c r="A330" s="7">
        <v>1326</v>
      </c>
      <c r="B330" s="19">
        <v>45363</v>
      </c>
      <c r="C330" s="7">
        <v>360</v>
      </c>
      <c r="D330" s="19">
        <v>45747</v>
      </c>
      <c r="E330" s="7">
        <v>12</v>
      </c>
      <c r="F330" s="29">
        <v>291742</v>
      </c>
      <c r="G330" s="29">
        <v>267519.82803498727</v>
      </c>
      <c r="H330" s="29">
        <v>310363.82978723408</v>
      </c>
      <c r="I330" s="7">
        <v>94</v>
      </c>
      <c r="J330" s="7" t="s">
        <v>72</v>
      </c>
      <c r="K330" s="7">
        <v>787</v>
      </c>
      <c r="L330" s="7">
        <v>3</v>
      </c>
      <c r="M330" s="7" t="s">
        <v>59</v>
      </c>
      <c r="N330" s="10">
        <v>7.3927216739616664E-2</v>
      </c>
      <c r="O330" s="7">
        <v>0.25</v>
      </c>
      <c r="P330" s="7">
        <v>0.23</v>
      </c>
      <c r="R330" s="30">
        <f t="shared" si="45"/>
        <v>671.00660000000005</v>
      </c>
      <c r="S330" s="7" t="str">
        <f t="shared" si="40"/>
        <v>90-95</v>
      </c>
      <c r="T330" s="7" t="str">
        <f t="shared" si="41"/>
        <v>750-800</v>
      </c>
      <c r="U330" s="31">
        <f t="shared" si="42"/>
        <v>0.05</v>
      </c>
      <c r="V330" s="30">
        <f t="shared" si="43"/>
        <v>70223.954859184159</v>
      </c>
      <c r="W330" s="30">
        <f t="shared" si="44"/>
        <v>17086.564117587695</v>
      </c>
      <c r="X330" s="30">
        <f t="shared" si="46"/>
        <v>17086.564117587695</v>
      </c>
      <c r="Y330" s="30">
        <f t="shared" si="47"/>
        <v>854.32820587938477</v>
      </c>
    </row>
    <row r="331" spans="1:25" x14ac:dyDescent="0.15">
      <c r="A331" s="7">
        <v>1327</v>
      </c>
      <c r="B331" s="19">
        <v>45402</v>
      </c>
      <c r="C331" s="7">
        <v>360</v>
      </c>
      <c r="D331" s="19">
        <v>45747</v>
      </c>
      <c r="E331" s="7">
        <v>11</v>
      </c>
      <c r="F331" s="29">
        <v>150479</v>
      </c>
      <c r="G331" s="29">
        <v>139561.23932356341</v>
      </c>
      <c r="H331" s="29">
        <v>177034.11764705883</v>
      </c>
      <c r="I331" s="7">
        <v>85</v>
      </c>
      <c r="J331" s="7" t="s">
        <v>73</v>
      </c>
      <c r="K331" s="7">
        <v>726</v>
      </c>
      <c r="L331" s="7">
        <v>48</v>
      </c>
      <c r="M331" s="7" t="s">
        <v>59</v>
      </c>
      <c r="N331" s="10">
        <v>6.9145886855901631E-2</v>
      </c>
      <c r="O331" s="7">
        <v>0.12</v>
      </c>
      <c r="P331" s="7">
        <v>0.35</v>
      </c>
      <c r="R331" s="30">
        <f t="shared" si="45"/>
        <v>526.67649999999992</v>
      </c>
      <c r="S331" s="7" t="str">
        <f t="shared" si="40"/>
        <v>80-85</v>
      </c>
      <c r="T331" s="7" t="str">
        <f t="shared" si="41"/>
        <v>700-750</v>
      </c>
      <c r="U331" s="31">
        <f t="shared" si="42"/>
        <v>2.5000000000000001E-2</v>
      </c>
      <c r="V331" s="30">
        <f t="shared" si="43"/>
        <v>17584.71615476899</v>
      </c>
      <c r="W331" s="30">
        <f t="shared" si="44"/>
        <v>-3939.6987102584098</v>
      </c>
      <c r="X331" s="30">
        <f t="shared" si="46"/>
        <v>0</v>
      </c>
      <c r="Y331" s="30">
        <f t="shared" si="47"/>
        <v>0</v>
      </c>
    </row>
    <row r="332" spans="1:25" x14ac:dyDescent="0.15">
      <c r="A332" s="7">
        <v>1328</v>
      </c>
      <c r="B332" s="19">
        <v>45412</v>
      </c>
      <c r="C332" s="7">
        <v>360</v>
      </c>
      <c r="D332" s="19">
        <v>45747</v>
      </c>
      <c r="E332" s="7">
        <v>11</v>
      </c>
      <c r="F332" s="29">
        <v>149446</v>
      </c>
      <c r="G332" s="29">
        <v>140211.71499999659</v>
      </c>
      <c r="H332" s="29">
        <v>175818.82352941178</v>
      </c>
      <c r="I332" s="7">
        <v>85</v>
      </c>
      <c r="J332" s="7" t="s">
        <v>69</v>
      </c>
      <c r="K332" s="7">
        <v>709</v>
      </c>
      <c r="L332" s="7">
        <v>40</v>
      </c>
      <c r="M332" s="7" t="s">
        <v>59</v>
      </c>
      <c r="N332" s="10">
        <v>5.4031635878571287E-2</v>
      </c>
      <c r="O332" s="7">
        <v>0.12</v>
      </c>
      <c r="P332" s="7">
        <v>0.28999999999999998</v>
      </c>
      <c r="R332" s="30">
        <f t="shared" si="45"/>
        <v>433.39339999999999</v>
      </c>
      <c r="S332" s="7" t="str">
        <f t="shared" si="40"/>
        <v>80-85</v>
      </c>
      <c r="T332" s="7" t="str">
        <f t="shared" si="41"/>
        <v>700-750</v>
      </c>
      <c r="U332" s="31">
        <f t="shared" si="42"/>
        <v>2.5000000000000001E-2</v>
      </c>
      <c r="V332" s="30">
        <f t="shared" si="43"/>
        <v>17666.676089999568</v>
      </c>
      <c r="W332" s="30">
        <f t="shared" si="44"/>
        <v>-2223.6992500035849</v>
      </c>
      <c r="X332" s="30">
        <f t="shared" si="46"/>
        <v>0</v>
      </c>
      <c r="Y332" s="30">
        <f t="shared" si="47"/>
        <v>0</v>
      </c>
    </row>
    <row r="333" spans="1:25" x14ac:dyDescent="0.15">
      <c r="A333" s="7">
        <v>1329</v>
      </c>
      <c r="B333" s="19">
        <v>45364</v>
      </c>
      <c r="C333" s="7">
        <v>360</v>
      </c>
      <c r="D333" s="19">
        <v>45747</v>
      </c>
      <c r="E333" s="7">
        <v>12</v>
      </c>
      <c r="F333" s="29">
        <v>557367</v>
      </c>
      <c r="G333" s="29">
        <v>514979.2674933949</v>
      </c>
      <c r="H333" s="29">
        <v>592943.61702127662</v>
      </c>
      <c r="I333" s="7">
        <v>94</v>
      </c>
      <c r="J333" s="7" t="s">
        <v>72</v>
      </c>
      <c r="K333" s="7">
        <v>600</v>
      </c>
      <c r="L333" s="7">
        <v>48</v>
      </c>
      <c r="M333" s="7" t="s">
        <v>59</v>
      </c>
      <c r="N333" s="10">
        <v>6.5255549738630445E-2</v>
      </c>
      <c r="O333" s="7">
        <v>0.25</v>
      </c>
      <c r="P333" s="7">
        <v>0.23</v>
      </c>
      <c r="R333" s="30">
        <f t="shared" si="45"/>
        <v>1281.9440999999999</v>
      </c>
      <c r="S333" s="7" t="str">
        <f t="shared" si="40"/>
        <v>90-95</v>
      </c>
      <c r="T333" s="7" t="str">
        <f t="shared" si="41"/>
        <v>&lt; 650</v>
      </c>
      <c r="U333" s="31">
        <f t="shared" si="42"/>
        <v>0.08</v>
      </c>
      <c r="V333" s="30">
        <f t="shared" si="43"/>
        <v>135182.05771701617</v>
      </c>
      <c r="W333" s="30">
        <f t="shared" si="44"/>
        <v>36726.156399979547</v>
      </c>
      <c r="X333" s="30">
        <f t="shared" si="46"/>
        <v>36726.156399979547</v>
      </c>
      <c r="Y333" s="30">
        <f t="shared" si="47"/>
        <v>2938.092511998364</v>
      </c>
    </row>
    <row r="334" spans="1:25" x14ac:dyDescent="0.15">
      <c r="A334" s="7">
        <v>1330</v>
      </c>
      <c r="B334" s="19">
        <v>45293</v>
      </c>
      <c r="C334" s="7">
        <v>360</v>
      </c>
      <c r="D334" s="19">
        <v>45747</v>
      </c>
      <c r="E334" s="7">
        <v>14</v>
      </c>
      <c r="F334" s="29">
        <v>529735</v>
      </c>
      <c r="G334" s="29">
        <v>488305.65177616989</v>
      </c>
      <c r="H334" s="29">
        <v>551807.29166666674</v>
      </c>
      <c r="I334" s="7">
        <v>96</v>
      </c>
      <c r="J334" s="7" t="s">
        <v>73</v>
      </c>
      <c r="K334" s="7">
        <v>609</v>
      </c>
      <c r="L334" s="7">
        <v>29</v>
      </c>
      <c r="M334" s="7" t="s">
        <v>59</v>
      </c>
      <c r="N334" s="10">
        <v>5.3534148023096001E-2</v>
      </c>
      <c r="O334" s="7">
        <v>0.3</v>
      </c>
      <c r="P334" s="7">
        <v>0.24</v>
      </c>
      <c r="R334" s="30">
        <f t="shared" si="45"/>
        <v>1271.364</v>
      </c>
      <c r="S334" s="7" t="str">
        <f t="shared" si="40"/>
        <v>&gt; 95</v>
      </c>
      <c r="T334" s="7" t="str">
        <f t="shared" si="41"/>
        <v>&lt; 650</v>
      </c>
      <c r="U334" s="31">
        <f t="shared" si="42"/>
        <v>0.11</v>
      </c>
      <c r="V334" s="30">
        <f t="shared" si="43"/>
        <v>153816.28030949351</v>
      </c>
      <c r="W334" s="30">
        <f t="shared" si="44"/>
        <v>43684.736448311654</v>
      </c>
      <c r="X334" s="30">
        <f t="shared" si="46"/>
        <v>43684.736448311654</v>
      </c>
      <c r="Y334" s="30">
        <f t="shared" si="47"/>
        <v>4805.3210093142816</v>
      </c>
    </row>
    <row r="335" spans="1:25" x14ac:dyDescent="0.15">
      <c r="A335" s="7">
        <v>1331</v>
      </c>
      <c r="B335" s="19">
        <v>45440</v>
      </c>
      <c r="C335" s="7">
        <v>360</v>
      </c>
      <c r="D335" s="19">
        <v>45747</v>
      </c>
      <c r="E335" s="7">
        <v>10</v>
      </c>
      <c r="F335" s="29">
        <v>403563</v>
      </c>
      <c r="G335" s="29">
        <v>374332.36278932268</v>
      </c>
      <c r="H335" s="29">
        <v>416044.32989690721</v>
      </c>
      <c r="I335" s="7">
        <v>97</v>
      </c>
      <c r="J335" s="7" t="s">
        <v>71</v>
      </c>
      <c r="K335" s="7">
        <v>705</v>
      </c>
      <c r="L335" s="7">
        <v>5</v>
      </c>
      <c r="M335" s="7" t="s">
        <v>59</v>
      </c>
      <c r="N335" s="10">
        <v>7.8641163722855886E-2</v>
      </c>
      <c r="O335" s="7">
        <v>0.35</v>
      </c>
      <c r="P335" s="7">
        <v>0.37</v>
      </c>
      <c r="R335" s="30">
        <f t="shared" si="45"/>
        <v>1493.1831</v>
      </c>
      <c r="S335" s="7" t="str">
        <f t="shared" si="40"/>
        <v>&gt; 95</v>
      </c>
      <c r="T335" s="7" t="str">
        <f t="shared" si="41"/>
        <v>700-750</v>
      </c>
      <c r="U335" s="31">
        <f t="shared" si="42"/>
        <v>7.0000000000000007E-2</v>
      </c>
      <c r="V335" s="30">
        <f t="shared" si="43"/>
        <v>137567.14332507609</v>
      </c>
      <c r="W335" s="30">
        <f t="shared" si="44"/>
        <v>39411.300516417716</v>
      </c>
      <c r="X335" s="30">
        <f t="shared" si="46"/>
        <v>39411.300516417716</v>
      </c>
      <c r="Y335" s="30">
        <f t="shared" si="47"/>
        <v>2758.7910361492404</v>
      </c>
    </row>
    <row r="336" spans="1:25" x14ac:dyDescent="0.15">
      <c r="A336" s="7">
        <v>1332</v>
      </c>
      <c r="B336" s="19">
        <v>45357</v>
      </c>
      <c r="C336" s="7">
        <v>360</v>
      </c>
      <c r="D336" s="19">
        <v>45747</v>
      </c>
      <c r="E336" s="7">
        <v>12</v>
      </c>
      <c r="F336" s="29">
        <v>696198</v>
      </c>
      <c r="G336" s="29">
        <v>642372.05582113366</v>
      </c>
      <c r="H336" s="29">
        <v>859503.70370370359</v>
      </c>
      <c r="I336" s="7">
        <v>81</v>
      </c>
      <c r="J336" s="7" t="s">
        <v>68</v>
      </c>
      <c r="K336" s="7">
        <v>844</v>
      </c>
      <c r="L336" s="7">
        <v>36</v>
      </c>
      <c r="M336" s="7" t="s">
        <v>59</v>
      </c>
      <c r="N336" s="10">
        <v>6.6850169934992168E-2</v>
      </c>
      <c r="O336" s="7">
        <v>0.12</v>
      </c>
      <c r="P336" s="7">
        <v>0.28999999999999998</v>
      </c>
      <c r="R336" s="30">
        <f t="shared" si="45"/>
        <v>2018.9741999999999</v>
      </c>
      <c r="S336" s="7" t="str">
        <f t="shared" si="40"/>
        <v>80-85</v>
      </c>
      <c r="T336" s="7" t="str">
        <f t="shared" si="41"/>
        <v>&gt; 800</v>
      </c>
      <c r="U336" s="31">
        <f t="shared" si="42"/>
        <v>0.01</v>
      </c>
      <c r="V336" s="30">
        <f t="shared" si="43"/>
        <v>80938.879033462843</v>
      </c>
      <c r="W336" s="30">
        <f t="shared" si="44"/>
        <v>-56087.489535957691</v>
      </c>
      <c r="X336" s="30">
        <f t="shared" si="46"/>
        <v>0</v>
      </c>
      <c r="Y336" s="30">
        <f t="shared" si="47"/>
        <v>0</v>
      </c>
    </row>
    <row r="337" spans="1:25" x14ac:dyDescent="0.15">
      <c r="A337" s="7">
        <v>1333</v>
      </c>
      <c r="B337" s="19">
        <v>45331</v>
      </c>
      <c r="C337" s="7">
        <v>360</v>
      </c>
      <c r="D337" s="19">
        <v>45747</v>
      </c>
      <c r="E337" s="7">
        <v>13</v>
      </c>
      <c r="F337" s="29">
        <v>404498</v>
      </c>
      <c r="G337" s="29">
        <v>369601.12925651012</v>
      </c>
      <c r="H337" s="29">
        <v>421352.08333333337</v>
      </c>
      <c r="I337" s="7">
        <v>96</v>
      </c>
      <c r="J337" s="7" t="s">
        <v>64</v>
      </c>
      <c r="K337" s="7">
        <v>630</v>
      </c>
      <c r="L337" s="7">
        <v>24</v>
      </c>
      <c r="M337" s="7" t="s">
        <v>59</v>
      </c>
      <c r="N337" s="10">
        <v>6.9751011245756292E-2</v>
      </c>
      <c r="O337" s="7">
        <v>0.3</v>
      </c>
      <c r="P337" s="7">
        <v>0.33</v>
      </c>
      <c r="R337" s="30">
        <f t="shared" si="45"/>
        <v>1334.8434</v>
      </c>
      <c r="S337" s="7" t="str">
        <f t="shared" si="40"/>
        <v>&gt; 95</v>
      </c>
      <c r="T337" s="7" t="str">
        <f t="shared" si="41"/>
        <v>&lt; 650</v>
      </c>
      <c r="U337" s="31">
        <f t="shared" si="42"/>
        <v>0.11</v>
      </c>
      <c r="V337" s="30">
        <f t="shared" si="43"/>
        <v>116424.35571580069</v>
      </c>
      <c r="W337" s="30">
        <f t="shared" si="44"/>
        <v>29931.914886002254</v>
      </c>
      <c r="X337" s="30">
        <f t="shared" si="46"/>
        <v>29931.914886002254</v>
      </c>
      <c r="Y337" s="30">
        <f t="shared" si="47"/>
        <v>3292.5106374602478</v>
      </c>
    </row>
    <row r="338" spans="1:25" x14ac:dyDescent="0.15">
      <c r="A338" s="7">
        <v>1334</v>
      </c>
      <c r="B338" s="19">
        <v>45438</v>
      </c>
      <c r="C338" s="7">
        <v>360</v>
      </c>
      <c r="D338" s="19">
        <v>45747</v>
      </c>
      <c r="E338" s="7">
        <v>10</v>
      </c>
      <c r="F338" s="29">
        <v>340080</v>
      </c>
      <c r="G338" s="29">
        <v>319856.93008012261</v>
      </c>
      <c r="H338" s="29">
        <v>390896.55172413791</v>
      </c>
      <c r="I338" s="7">
        <v>87</v>
      </c>
      <c r="J338" s="7" t="s">
        <v>68</v>
      </c>
      <c r="K338" s="7">
        <v>787</v>
      </c>
      <c r="L338" s="7">
        <v>6</v>
      </c>
      <c r="M338" s="7" t="s">
        <v>59</v>
      </c>
      <c r="N338" s="10">
        <v>5.9237371041334023E-2</v>
      </c>
      <c r="O338" s="7">
        <v>0.12</v>
      </c>
      <c r="P338" s="7">
        <v>0.2</v>
      </c>
      <c r="R338" s="30">
        <f t="shared" si="45"/>
        <v>680.16</v>
      </c>
      <c r="S338" s="7" t="str">
        <f t="shared" si="40"/>
        <v>85-90</v>
      </c>
      <c r="T338" s="7" t="str">
        <f t="shared" si="41"/>
        <v>750-800</v>
      </c>
      <c r="U338" s="31">
        <f t="shared" si="42"/>
        <v>0.02</v>
      </c>
      <c r="V338" s="30">
        <f t="shared" si="43"/>
        <v>40301.973190095443</v>
      </c>
      <c r="W338" s="30">
        <f t="shared" si="44"/>
        <v>3587.7076186115155</v>
      </c>
      <c r="X338" s="30">
        <f t="shared" si="46"/>
        <v>3587.7076186115155</v>
      </c>
      <c r="Y338" s="30">
        <f t="shared" si="47"/>
        <v>71.754152372230308</v>
      </c>
    </row>
    <row r="339" spans="1:25" x14ac:dyDescent="0.15">
      <c r="A339" s="7">
        <v>1335</v>
      </c>
      <c r="B339" s="19">
        <v>45406</v>
      </c>
      <c r="C339" s="7">
        <v>360</v>
      </c>
      <c r="D339" s="19">
        <v>45747</v>
      </c>
      <c r="E339" s="7">
        <v>11</v>
      </c>
      <c r="F339" s="29">
        <v>568808</v>
      </c>
      <c r="G339" s="29">
        <v>534082.0261030338</v>
      </c>
      <c r="H339" s="29">
        <v>677152.38095238095</v>
      </c>
      <c r="I339" s="7">
        <v>84</v>
      </c>
      <c r="J339" s="7" t="s">
        <v>71</v>
      </c>
      <c r="K339" s="7">
        <v>782</v>
      </c>
      <c r="L339" s="7">
        <v>7</v>
      </c>
      <c r="M339" s="7" t="s">
        <v>59</v>
      </c>
      <c r="N339" s="10">
        <v>5.2951567391260265E-2</v>
      </c>
      <c r="O339" s="7">
        <v>0.12</v>
      </c>
      <c r="P339" s="7">
        <v>0.31</v>
      </c>
      <c r="R339" s="30">
        <f t="shared" si="45"/>
        <v>1763.3048000000001</v>
      </c>
      <c r="S339" s="7" t="str">
        <f t="shared" si="40"/>
        <v>80-85</v>
      </c>
      <c r="T339" s="7" t="str">
        <f t="shared" si="41"/>
        <v>750-800</v>
      </c>
      <c r="U339" s="31">
        <f t="shared" si="42"/>
        <v>0.02</v>
      </c>
      <c r="V339" s="30">
        <f t="shared" si="43"/>
        <v>67294.335288982256</v>
      </c>
      <c r="W339" s="30">
        <f t="shared" si="44"/>
        <v>-14793.396401338279</v>
      </c>
      <c r="X339" s="30">
        <f t="shared" si="46"/>
        <v>0</v>
      </c>
      <c r="Y339" s="30">
        <f t="shared" si="47"/>
        <v>0</v>
      </c>
    </row>
    <row r="340" spans="1:25" x14ac:dyDescent="0.15">
      <c r="A340" s="7">
        <v>1336</v>
      </c>
      <c r="B340" s="19">
        <v>45331</v>
      </c>
      <c r="C340" s="7">
        <v>360</v>
      </c>
      <c r="D340" s="19">
        <v>45747</v>
      </c>
      <c r="E340" s="7">
        <v>13</v>
      </c>
      <c r="F340" s="29">
        <v>342537</v>
      </c>
      <c r="G340" s="29">
        <v>311914.66540151631</v>
      </c>
      <c r="H340" s="29">
        <v>384873.03370786516</v>
      </c>
      <c r="I340" s="7">
        <v>89</v>
      </c>
      <c r="J340" s="7" t="s">
        <v>62</v>
      </c>
      <c r="K340" s="7">
        <v>658</v>
      </c>
      <c r="L340" s="7">
        <v>1</v>
      </c>
      <c r="M340" s="7" t="s">
        <v>59</v>
      </c>
      <c r="N340" s="10">
        <v>7.3310409285573641E-2</v>
      </c>
      <c r="O340" s="7">
        <v>0.12</v>
      </c>
      <c r="P340" s="7">
        <v>0.28000000000000003</v>
      </c>
      <c r="R340" s="30">
        <f t="shared" si="45"/>
        <v>959.10360000000014</v>
      </c>
      <c r="S340" s="7" t="str">
        <f t="shared" si="40"/>
        <v>85-90</v>
      </c>
      <c r="T340" s="7" t="str">
        <f t="shared" si="41"/>
        <v>650-700</v>
      </c>
      <c r="U340" s="31">
        <f t="shared" si="42"/>
        <v>0.04</v>
      </c>
      <c r="V340" s="30">
        <f t="shared" si="43"/>
        <v>39301.247840591051</v>
      </c>
      <c r="W340" s="30">
        <f t="shared" si="44"/>
        <v>368.32001990673598</v>
      </c>
      <c r="X340" s="30">
        <f t="shared" si="46"/>
        <v>368.32001990673598</v>
      </c>
      <c r="Y340" s="30">
        <f t="shared" si="47"/>
        <v>14.732800796269439</v>
      </c>
    </row>
    <row r="341" spans="1:25" x14ac:dyDescent="0.15">
      <c r="A341" s="7">
        <v>1337</v>
      </c>
      <c r="B341" s="19">
        <v>45303</v>
      </c>
      <c r="C341" s="7">
        <v>360</v>
      </c>
      <c r="D341" s="19">
        <v>45747</v>
      </c>
      <c r="E341" s="7">
        <v>14</v>
      </c>
      <c r="F341" s="29">
        <v>261989</v>
      </c>
      <c r="G341" s="29">
        <v>237836.40840318566</v>
      </c>
      <c r="H341" s="29">
        <v>304638.37209302327</v>
      </c>
      <c r="I341" s="7">
        <v>86</v>
      </c>
      <c r="J341" s="7" t="s">
        <v>64</v>
      </c>
      <c r="K341" s="7">
        <v>819</v>
      </c>
      <c r="L341" s="7">
        <v>2</v>
      </c>
      <c r="M341" s="7" t="s">
        <v>59</v>
      </c>
      <c r="N341" s="10">
        <v>6.8984318577761397E-2</v>
      </c>
      <c r="O341" s="7">
        <v>0.12</v>
      </c>
      <c r="P341" s="7">
        <v>0.28000000000000003</v>
      </c>
      <c r="R341" s="30">
        <f t="shared" si="45"/>
        <v>733.56920000000014</v>
      </c>
      <c r="S341" s="7" t="str">
        <f t="shared" si="40"/>
        <v>85-90</v>
      </c>
      <c r="T341" s="7" t="str">
        <f t="shared" si="41"/>
        <v>&gt; 800</v>
      </c>
      <c r="U341" s="31">
        <f t="shared" si="42"/>
        <v>0.01</v>
      </c>
      <c r="V341" s="30">
        <f t="shared" si="43"/>
        <v>29967.387458801393</v>
      </c>
      <c r="W341" s="30">
        <f t="shared" si="44"/>
        <v>-9214.38745572482</v>
      </c>
      <c r="X341" s="30">
        <f t="shared" si="46"/>
        <v>0</v>
      </c>
      <c r="Y341" s="30">
        <f t="shared" si="47"/>
        <v>0</v>
      </c>
    </row>
    <row r="342" spans="1:25" x14ac:dyDescent="0.15">
      <c r="A342" s="7">
        <v>1338</v>
      </c>
      <c r="B342" s="19">
        <v>45310</v>
      </c>
      <c r="C342" s="7">
        <v>360</v>
      </c>
      <c r="D342" s="19">
        <v>45747</v>
      </c>
      <c r="E342" s="7">
        <v>14</v>
      </c>
      <c r="F342" s="29">
        <v>508984</v>
      </c>
      <c r="G342" s="29">
        <v>469509.93330426165</v>
      </c>
      <c r="H342" s="29">
        <v>530191.66666666674</v>
      </c>
      <c r="I342" s="7">
        <v>96</v>
      </c>
      <c r="J342" s="7" t="s">
        <v>74</v>
      </c>
      <c r="K342" s="7">
        <v>641</v>
      </c>
      <c r="L342" s="7">
        <v>7</v>
      </c>
      <c r="M342" s="7" t="s">
        <v>59</v>
      </c>
      <c r="N342" s="10">
        <v>5.2783614471715402E-2</v>
      </c>
      <c r="O342" s="7">
        <v>0.3</v>
      </c>
      <c r="P342" s="7">
        <v>0.45</v>
      </c>
      <c r="R342" s="30">
        <f t="shared" si="45"/>
        <v>2290.4280000000003</v>
      </c>
      <c r="S342" s="7" t="str">
        <f t="shared" si="40"/>
        <v>&gt; 95</v>
      </c>
      <c r="T342" s="7" t="str">
        <f t="shared" si="41"/>
        <v>&lt; 650</v>
      </c>
      <c r="U342" s="31">
        <f t="shared" si="42"/>
        <v>0.11</v>
      </c>
      <c r="V342" s="30">
        <f t="shared" si="43"/>
        <v>147895.62899084241</v>
      </c>
      <c r="W342" s="30">
        <f t="shared" si="44"/>
        <v>42322.513302807987</v>
      </c>
      <c r="X342" s="30">
        <f t="shared" si="46"/>
        <v>42322.513302807987</v>
      </c>
      <c r="Y342" s="30">
        <f t="shared" si="47"/>
        <v>4655.4764633088789</v>
      </c>
    </row>
    <row r="343" spans="1:25" x14ac:dyDescent="0.15">
      <c r="A343" s="7">
        <v>1339</v>
      </c>
      <c r="B343" s="19">
        <v>45377</v>
      </c>
      <c r="C343" s="7">
        <v>360</v>
      </c>
      <c r="D343" s="19">
        <v>45747</v>
      </c>
      <c r="E343" s="7">
        <v>12</v>
      </c>
      <c r="F343" s="29">
        <v>685861</v>
      </c>
      <c r="G343" s="29">
        <v>638159.74506655615</v>
      </c>
      <c r="H343" s="29">
        <v>745501.08695652173</v>
      </c>
      <c r="I343" s="7">
        <v>92</v>
      </c>
      <c r="J343" s="7" t="s">
        <v>74</v>
      </c>
      <c r="K343" s="7">
        <v>688</v>
      </c>
      <c r="L343" s="7">
        <v>39</v>
      </c>
      <c r="M343" s="7" t="s">
        <v>59</v>
      </c>
      <c r="N343" s="10">
        <v>5.6870295996350809E-2</v>
      </c>
      <c r="O343" s="7">
        <v>0.25</v>
      </c>
      <c r="P343" s="7">
        <v>0.36</v>
      </c>
      <c r="R343" s="30">
        <f t="shared" si="45"/>
        <v>2469.0996</v>
      </c>
      <c r="S343" s="7" t="str">
        <f t="shared" si="40"/>
        <v>90-95</v>
      </c>
      <c r="T343" s="7" t="str">
        <f t="shared" si="41"/>
        <v>650-700</v>
      </c>
      <c r="U343" s="31">
        <f t="shared" si="42"/>
        <v>7.0000000000000007E-2</v>
      </c>
      <c r="V343" s="30">
        <f t="shared" si="43"/>
        <v>167516.933079971</v>
      </c>
      <c r="W343" s="30">
        <f t="shared" si="44"/>
        <v>36391.808406840544</v>
      </c>
      <c r="X343" s="30">
        <f t="shared" si="46"/>
        <v>36391.808406840544</v>
      </c>
      <c r="Y343" s="30">
        <f t="shared" si="47"/>
        <v>2547.4265884788383</v>
      </c>
    </row>
    <row r="344" spans="1:25" x14ac:dyDescent="0.15">
      <c r="A344" s="7">
        <v>1340</v>
      </c>
      <c r="B344" s="19">
        <v>45324</v>
      </c>
      <c r="C344" s="7">
        <v>360</v>
      </c>
      <c r="D344" s="19">
        <v>45747</v>
      </c>
      <c r="E344" s="7">
        <v>13</v>
      </c>
      <c r="F344" s="29">
        <v>596865</v>
      </c>
      <c r="G344" s="29">
        <v>554315.6904908804</v>
      </c>
      <c r="H344" s="29">
        <v>678255.68181818177</v>
      </c>
      <c r="I344" s="7">
        <v>88</v>
      </c>
      <c r="J344" s="7" t="s">
        <v>61</v>
      </c>
      <c r="K344" s="7">
        <v>650</v>
      </c>
      <c r="L344" s="7">
        <v>37</v>
      </c>
      <c r="M344" s="7" t="s">
        <v>59</v>
      </c>
      <c r="N344" s="10">
        <v>5.1879899491466722E-2</v>
      </c>
      <c r="O344" s="7">
        <v>0.12</v>
      </c>
      <c r="P344" s="7">
        <v>0.27</v>
      </c>
      <c r="R344" s="30">
        <f t="shared" si="45"/>
        <v>1611.5355000000002</v>
      </c>
      <c r="S344" s="7" t="str">
        <f t="shared" si="40"/>
        <v>85-90</v>
      </c>
      <c r="T344" s="7" t="str">
        <f t="shared" si="41"/>
        <v>650-700</v>
      </c>
      <c r="U344" s="31">
        <f t="shared" si="42"/>
        <v>0.04</v>
      </c>
      <c r="V344" s="30">
        <f t="shared" si="43"/>
        <v>69843.777001850933</v>
      </c>
      <c r="W344" s="30">
        <f t="shared" si="44"/>
        <v>5514.1454699699534</v>
      </c>
      <c r="X344" s="30">
        <f t="shared" si="46"/>
        <v>5514.1454699699534</v>
      </c>
      <c r="Y344" s="30">
        <f t="shared" si="47"/>
        <v>220.56581879879815</v>
      </c>
    </row>
    <row r="345" spans="1:25" x14ac:dyDescent="0.15">
      <c r="A345" s="7">
        <v>1341</v>
      </c>
      <c r="B345" s="19">
        <v>45451</v>
      </c>
      <c r="C345" s="7">
        <v>360</v>
      </c>
      <c r="D345" s="19">
        <v>45747</v>
      </c>
      <c r="E345" s="7">
        <v>9</v>
      </c>
      <c r="F345" s="29">
        <v>584859</v>
      </c>
      <c r="G345" s="29">
        <v>551264.19637014333</v>
      </c>
      <c r="H345" s="29">
        <v>731073.75</v>
      </c>
      <c r="I345" s="7">
        <v>80</v>
      </c>
      <c r="J345" s="7" t="s">
        <v>69</v>
      </c>
      <c r="K345" s="7">
        <v>734</v>
      </c>
      <c r="L345" s="7">
        <v>34</v>
      </c>
      <c r="M345" s="7" t="s">
        <v>59</v>
      </c>
      <c r="N345" s="10">
        <v>6.5935336335150696E-2</v>
      </c>
      <c r="O345" s="7">
        <v>0.12</v>
      </c>
      <c r="P345" s="7">
        <v>0.32</v>
      </c>
      <c r="R345" s="30">
        <f t="shared" si="45"/>
        <v>1871.5488</v>
      </c>
      <c r="S345" s="7" t="str">
        <f t="shared" si="40"/>
        <v>80-85</v>
      </c>
      <c r="T345" s="7" t="str">
        <f t="shared" si="41"/>
        <v>700-750</v>
      </c>
      <c r="U345" s="31">
        <f t="shared" si="42"/>
        <v>2.5000000000000001E-2</v>
      </c>
      <c r="V345" s="30">
        <f t="shared" si="43"/>
        <v>69459.288742638062</v>
      </c>
      <c r="W345" s="30">
        <f t="shared" si="44"/>
        <v>-42585.281311349478</v>
      </c>
      <c r="X345" s="30">
        <f t="shared" si="46"/>
        <v>0</v>
      </c>
      <c r="Y345" s="30">
        <f t="shared" si="47"/>
        <v>0</v>
      </c>
    </row>
    <row r="346" spans="1:25" x14ac:dyDescent="0.15">
      <c r="A346" s="7">
        <v>1342</v>
      </c>
      <c r="B346" s="19">
        <v>45427</v>
      </c>
      <c r="C346" s="7">
        <v>360</v>
      </c>
      <c r="D346" s="19">
        <v>45747</v>
      </c>
      <c r="E346" s="7">
        <v>10</v>
      </c>
      <c r="F346" s="29">
        <v>175119</v>
      </c>
      <c r="G346" s="29">
        <v>164563.41269664594</v>
      </c>
      <c r="H346" s="29">
        <v>188300</v>
      </c>
      <c r="I346" s="7">
        <v>93</v>
      </c>
      <c r="J346" s="7" t="s">
        <v>74</v>
      </c>
      <c r="K346" s="7">
        <v>654</v>
      </c>
      <c r="L346" s="7">
        <v>42</v>
      </c>
      <c r="M346" s="7" t="s">
        <v>59</v>
      </c>
      <c r="N346" s="10">
        <v>6.0499634029824702E-2</v>
      </c>
      <c r="O346" s="7">
        <v>0.25</v>
      </c>
      <c r="P346" s="7">
        <v>0.41</v>
      </c>
      <c r="R346" s="30">
        <f t="shared" si="45"/>
        <v>717.98789999999997</v>
      </c>
      <c r="S346" s="7" t="str">
        <f t="shared" si="40"/>
        <v>90-95</v>
      </c>
      <c r="T346" s="7" t="str">
        <f t="shared" si="41"/>
        <v>650-700</v>
      </c>
      <c r="U346" s="31">
        <f t="shared" si="42"/>
        <v>7.0000000000000007E-2</v>
      </c>
      <c r="V346" s="30">
        <f t="shared" si="43"/>
        <v>43197.895832869559</v>
      </c>
      <c r="W346" s="30">
        <f t="shared" si="44"/>
        <v>12736.583331478236</v>
      </c>
      <c r="X346" s="30">
        <f t="shared" si="46"/>
        <v>12736.583331478236</v>
      </c>
      <c r="Y346" s="30">
        <f t="shared" si="47"/>
        <v>891.56083320347659</v>
      </c>
    </row>
    <row r="347" spans="1:25" x14ac:dyDescent="0.15">
      <c r="A347" s="7">
        <v>1343</v>
      </c>
      <c r="B347" s="19">
        <v>45394</v>
      </c>
      <c r="C347" s="7">
        <v>360</v>
      </c>
      <c r="D347" s="19">
        <v>45747</v>
      </c>
      <c r="E347" s="7">
        <v>11</v>
      </c>
      <c r="F347" s="29">
        <v>591289</v>
      </c>
      <c r="G347" s="29">
        <v>544900.68123259419</v>
      </c>
      <c r="H347" s="29">
        <v>695634.1176470588</v>
      </c>
      <c r="I347" s="7">
        <v>85</v>
      </c>
      <c r="J347" s="7" t="s">
        <v>67</v>
      </c>
      <c r="K347" s="7">
        <v>830</v>
      </c>
      <c r="L347" s="7">
        <v>46</v>
      </c>
      <c r="M347" s="7" t="s">
        <v>59</v>
      </c>
      <c r="N347" s="10">
        <v>7.7035911459353748E-2</v>
      </c>
      <c r="O347" s="7">
        <v>0.12</v>
      </c>
      <c r="P347" s="7">
        <v>0.25</v>
      </c>
      <c r="R347" s="30">
        <f t="shared" si="45"/>
        <v>1478.2225000000001</v>
      </c>
      <c r="S347" s="7" t="str">
        <f t="shared" si="40"/>
        <v>80-85</v>
      </c>
      <c r="T347" s="7" t="str">
        <f t="shared" si="41"/>
        <v>&gt; 800</v>
      </c>
      <c r="U347" s="31">
        <f t="shared" si="42"/>
        <v>0.01</v>
      </c>
      <c r="V347" s="30">
        <f t="shared" si="43"/>
        <v>68657.48583530687</v>
      </c>
      <c r="W347" s="30">
        <f t="shared" si="44"/>
        <v>-19143.284705776023</v>
      </c>
      <c r="X347" s="30">
        <f t="shared" si="46"/>
        <v>0</v>
      </c>
      <c r="Y347" s="30">
        <f t="shared" si="47"/>
        <v>0</v>
      </c>
    </row>
    <row r="348" spans="1:25" x14ac:dyDescent="0.15">
      <c r="A348" s="7">
        <v>1344</v>
      </c>
      <c r="B348" s="19">
        <v>45341</v>
      </c>
      <c r="C348" s="7">
        <v>360</v>
      </c>
      <c r="D348" s="19">
        <v>45747</v>
      </c>
      <c r="E348" s="7">
        <v>13</v>
      </c>
      <c r="F348" s="29">
        <v>446126</v>
      </c>
      <c r="G348" s="29">
        <v>411339.62277694989</v>
      </c>
      <c r="H348" s="29">
        <v>544056.09756097558</v>
      </c>
      <c r="I348" s="7">
        <v>82</v>
      </c>
      <c r="J348" s="7" t="s">
        <v>72</v>
      </c>
      <c r="K348" s="7">
        <v>663</v>
      </c>
      <c r="L348" s="7">
        <v>39</v>
      </c>
      <c r="M348" s="7" t="s">
        <v>59</v>
      </c>
      <c r="N348" s="10">
        <v>6.0039198104265647E-2</v>
      </c>
      <c r="O348" s="7">
        <v>0.12</v>
      </c>
      <c r="P348" s="7">
        <v>0.41</v>
      </c>
      <c r="R348" s="30">
        <f t="shared" si="45"/>
        <v>1829.1166000000001</v>
      </c>
      <c r="S348" s="7" t="str">
        <f t="shared" si="40"/>
        <v>80-85</v>
      </c>
      <c r="T348" s="7" t="str">
        <f t="shared" si="41"/>
        <v>650-700</v>
      </c>
      <c r="U348" s="31">
        <f t="shared" si="42"/>
        <v>0.03</v>
      </c>
      <c r="V348" s="30">
        <f t="shared" si="43"/>
        <v>51828.792469895692</v>
      </c>
      <c r="W348" s="30">
        <f t="shared" si="44"/>
        <v>-30541.079011031776</v>
      </c>
      <c r="X348" s="30">
        <f t="shared" si="46"/>
        <v>0</v>
      </c>
      <c r="Y348" s="30">
        <f t="shared" si="47"/>
        <v>0</v>
      </c>
    </row>
    <row r="349" spans="1:25" x14ac:dyDescent="0.15">
      <c r="A349" s="7">
        <v>1345</v>
      </c>
      <c r="B349" s="19">
        <v>45325</v>
      </c>
      <c r="C349" s="7">
        <v>360</v>
      </c>
      <c r="D349" s="19">
        <v>45747</v>
      </c>
      <c r="E349" s="7">
        <v>13</v>
      </c>
      <c r="F349" s="29">
        <v>244262</v>
      </c>
      <c r="G349" s="29">
        <v>224437.81053830578</v>
      </c>
      <c r="H349" s="29">
        <v>268419.78021978022</v>
      </c>
      <c r="I349" s="7">
        <v>91</v>
      </c>
      <c r="J349" s="7" t="s">
        <v>70</v>
      </c>
      <c r="K349" s="7">
        <v>768</v>
      </c>
      <c r="L349" s="7">
        <v>9</v>
      </c>
      <c r="M349" s="7" t="s">
        <v>59</v>
      </c>
      <c r="N349" s="10">
        <v>6.3816375787824009E-2</v>
      </c>
      <c r="O349" s="7">
        <v>0.25</v>
      </c>
      <c r="P349" s="7">
        <v>0.2</v>
      </c>
      <c r="R349" s="30">
        <f t="shared" si="45"/>
        <v>488.524</v>
      </c>
      <c r="S349" s="7" t="str">
        <f t="shared" si="40"/>
        <v>90-95</v>
      </c>
      <c r="T349" s="7" t="str">
        <f t="shared" si="41"/>
        <v>750-800</v>
      </c>
      <c r="U349" s="31">
        <f t="shared" si="42"/>
        <v>0.05</v>
      </c>
      <c r="V349" s="30">
        <f t="shared" si="43"/>
        <v>58914.925266305268</v>
      </c>
      <c r="W349" s="30">
        <f t="shared" si="44"/>
        <v>7502.8878784078988</v>
      </c>
      <c r="X349" s="30">
        <f t="shared" si="46"/>
        <v>7502.8878784078988</v>
      </c>
      <c r="Y349" s="30">
        <f t="shared" si="47"/>
        <v>375.14439392039498</v>
      </c>
    </row>
    <row r="350" spans="1:25" x14ac:dyDescent="0.15">
      <c r="A350" s="7">
        <v>1346</v>
      </c>
      <c r="B350" s="19">
        <v>45328</v>
      </c>
      <c r="C350" s="7">
        <v>360</v>
      </c>
      <c r="D350" s="19">
        <v>45747</v>
      </c>
      <c r="E350" s="7">
        <v>13</v>
      </c>
      <c r="F350" s="29">
        <v>388861</v>
      </c>
      <c r="G350" s="29">
        <v>357697.6364659876</v>
      </c>
      <c r="H350" s="29">
        <v>432067.77777777775</v>
      </c>
      <c r="I350" s="7">
        <v>90</v>
      </c>
      <c r="J350" s="7" t="s">
        <v>66</v>
      </c>
      <c r="K350" s="7">
        <v>736</v>
      </c>
      <c r="L350" s="7">
        <v>29</v>
      </c>
      <c r="M350" s="7" t="s">
        <v>59</v>
      </c>
      <c r="N350" s="10">
        <v>6.2614547254658925E-2</v>
      </c>
      <c r="O350" s="7">
        <v>0.25</v>
      </c>
      <c r="P350" s="7">
        <v>0.28999999999999998</v>
      </c>
      <c r="R350" s="30">
        <f t="shared" si="45"/>
        <v>1127.6968999999999</v>
      </c>
      <c r="S350" s="7" t="str">
        <f t="shared" si="40"/>
        <v>85-90</v>
      </c>
      <c r="T350" s="7" t="str">
        <f t="shared" si="41"/>
        <v>700-750</v>
      </c>
      <c r="U350" s="31">
        <f t="shared" si="42"/>
        <v>0.03</v>
      </c>
      <c r="V350" s="30">
        <f t="shared" si="43"/>
        <v>93895.629572321748</v>
      </c>
      <c r="W350" s="30">
        <f t="shared" si="44"/>
        <v>8324.9071781759267</v>
      </c>
      <c r="X350" s="30">
        <f t="shared" si="46"/>
        <v>8324.9071781759267</v>
      </c>
      <c r="Y350" s="30">
        <f t="shared" si="47"/>
        <v>249.74721534527779</v>
      </c>
    </row>
    <row r="351" spans="1:25" x14ac:dyDescent="0.15">
      <c r="A351" s="7">
        <v>1347</v>
      </c>
      <c r="B351" s="19">
        <v>45338</v>
      </c>
      <c r="C351" s="7">
        <v>360</v>
      </c>
      <c r="D351" s="19">
        <v>45747</v>
      </c>
      <c r="E351" s="7">
        <v>13</v>
      </c>
      <c r="F351" s="29">
        <v>213786</v>
      </c>
      <c r="G351" s="29">
        <v>193620.83658215063</v>
      </c>
      <c r="H351" s="29">
        <v>220397.93814432991</v>
      </c>
      <c r="I351" s="7">
        <v>97</v>
      </c>
      <c r="J351" s="7" t="s">
        <v>70</v>
      </c>
      <c r="K351" s="7">
        <v>815</v>
      </c>
      <c r="L351" s="7">
        <v>30</v>
      </c>
      <c r="M351" s="7" t="s">
        <v>59</v>
      </c>
      <c r="N351" s="10">
        <v>7.8822069354521365E-2</v>
      </c>
      <c r="O351" s="7">
        <v>0.35</v>
      </c>
      <c r="P351" s="7">
        <v>0.42</v>
      </c>
      <c r="R351" s="30">
        <f t="shared" si="45"/>
        <v>897.9011999999999</v>
      </c>
      <c r="S351" s="7" t="str">
        <f t="shared" si="40"/>
        <v>&gt; 95</v>
      </c>
      <c r="T351" s="7" t="str">
        <f t="shared" si="41"/>
        <v>&gt; 800</v>
      </c>
      <c r="U351" s="31">
        <f t="shared" si="42"/>
        <v>0.05</v>
      </c>
      <c r="V351" s="30">
        <f t="shared" si="43"/>
        <v>71155.657443940348</v>
      </c>
      <c r="W351" s="30">
        <f t="shared" si="44"/>
        <v>15963.630988577759</v>
      </c>
      <c r="X351" s="30">
        <f t="shared" si="46"/>
        <v>15963.630988577759</v>
      </c>
      <c r="Y351" s="30">
        <f t="shared" si="47"/>
        <v>798.18154942888805</v>
      </c>
    </row>
    <row r="352" spans="1:25" x14ac:dyDescent="0.15">
      <c r="A352" s="7">
        <v>1348</v>
      </c>
      <c r="B352" s="19">
        <v>45373</v>
      </c>
      <c r="C352" s="7">
        <v>360</v>
      </c>
      <c r="D352" s="19">
        <v>45747</v>
      </c>
      <c r="E352" s="7">
        <v>12</v>
      </c>
      <c r="F352" s="29">
        <v>316570</v>
      </c>
      <c r="G352" s="29">
        <v>292411.16165166197</v>
      </c>
      <c r="H352" s="29">
        <v>333231.57894736843</v>
      </c>
      <c r="I352" s="7">
        <v>95</v>
      </c>
      <c r="J352" s="7" t="s">
        <v>72</v>
      </c>
      <c r="K352" s="7">
        <v>742</v>
      </c>
      <c r="L352" s="7">
        <v>39</v>
      </c>
      <c r="M352" s="7" t="s">
        <v>59</v>
      </c>
      <c r="N352" s="10">
        <v>6.5589983829930476E-2</v>
      </c>
      <c r="O352" s="7">
        <v>0.3</v>
      </c>
      <c r="P352" s="7">
        <v>0.45</v>
      </c>
      <c r="R352" s="30">
        <f t="shared" si="45"/>
        <v>1424.5650000000001</v>
      </c>
      <c r="S352" s="7" t="str">
        <f t="shared" si="40"/>
        <v>90-95</v>
      </c>
      <c r="T352" s="7" t="str">
        <f t="shared" si="41"/>
        <v>700-750</v>
      </c>
      <c r="U352" s="31">
        <f t="shared" si="42"/>
        <v>0.06</v>
      </c>
      <c r="V352" s="30">
        <f t="shared" si="43"/>
        <v>92109.515920273523</v>
      </c>
      <c r="W352" s="30">
        <f t="shared" si="44"/>
        <v>23784.877628981951</v>
      </c>
      <c r="X352" s="30">
        <f t="shared" si="46"/>
        <v>23784.877628981951</v>
      </c>
      <c r="Y352" s="30">
        <f t="shared" si="47"/>
        <v>1427.0926577389171</v>
      </c>
    </row>
    <row r="353" spans="1:25" x14ac:dyDescent="0.15">
      <c r="A353" s="7">
        <v>1349</v>
      </c>
      <c r="B353" s="19">
        <v>45295</v>
      </c>
      <c r="C353" s="7">
        <v>360</v>
      </c>
      <c r="D353" s="19">
        <v>45747</v>
      </c>
      <c r="E353" s="7">
        <v>14</v>
      </c>
      <c r="F353" s="29">
        <v>476485</v>
      </c>
      <c r="G353" s="29">
        <v>440598.28003924043</v>
      </c>
      <c r="H353" s="29">
        <v>523609.89010989008</v>
      </c>
      <c r="I353" s="7">
        <v>91</v>
      </c>
      <c r="J353" s="7" t="s">
        <v>72</v>
      </c>
      <c r="K353" s="7">
        <v>681</v>
      </c>
      <c r="L353" s="7">
        <v>25</v>
      </c>
      <c r="M353" s="7" t="s">
        <v>59</v>
      </c>
      <c r="N353" s="10">
        <v>5.0187489993593702E-2</v>
      </c>
      <c r="O353" s="7">
        <v>0.25</v>
      </c>
      <c r="P353" s="7">
        <v>0.22</v>
      </c>
      <c r="R353" s="30">
        <f t="shared" si="45"/>
        <v>1048.2670000000001</v>
      </c>
      <c r="S353" s="7" t="str">
        <f t="shared" si="40"/>
        <v>90-95</v>
      </c>
      <c r="T353" s="7" t="str">
        <f t="shared" si="41"/>
        <v>650-700</v>
      </c>
      <c r="U353" s="31">
        <f t="shared" si="42"/>
        <v>7.0000000000000007E-2</v>
      </c>
      <c r="V353" s="30">
        <f t="shared" si="43"/>
        <v>115657.04851030062</v>
      </c>
      <c r="W353" s="30">
        <f t="shared" si="44"/>
        <v>17559.787447795912</v>
      </c>
      <c r="X353" s="30">
        <f t="shared" si="46"/>
        <v>17559.787447795912</v>
      </c>
      <c r="Y353" s="30">
        <f t="shared" si="47"/>
        <v>1229.1851213457139</v>
      </c>
    </row>
    <row r="354" spans="1:25" x14ac:dyDescent="0.15">
      <c r="A354" s="7">
        <v>1350</v>
      </c>
      <c r="B354" s="19">
        <v>45418</v>
      </c>
      <c r="C354" s="7">
        <v>360</v>
      </c>
      <c r="D354" s="19">
        <v>45747</v>
      </c>
      <c r="E354" s="7">
        <v>10</v>
      </c>
      <c r="F354" s="29">
        <v>229007</v>
      </c>
      <c r="G354" s="29">
        <v>215277.77930368323</v>
      </c>
      <c r="H354" s="29">
        <v>236089.6907216495</v>
      </c>
      <c r="I354" s="7">
        <v>97</v>
      </c>
      <c r="J354" s="7" t="s">
        <v>65</v>
      </c>
      <c r="K354" s="7">
        <v>757</v>
      </c>
      <c r="L354" s="7">
        <v>24</v>
      </c>
      <c r="M354" s="7" t="s">
        <v>59</v>
      </c>
      <c r="N354" s="10">
        <v>5.9993846296026748E-2</v>
      </c>
      <c r="O354" s="7">
        <v>0.35</v>
      </c>
      <c r="P354" s="7">
        <v>0.27</v>
      </c>
      <c r="R354" s="30">
        <f t="shared" si="45"/>
        <v>618.3189000000001</v>
      </c>
      <c r="S354" s="7" t="str">
        <f t="shared" si="40"/>
        <v>&gt; 95</v>
      </c>
      <c r="T354" s="7" t="str">
        <f t="shared" si="41"/>
        <v>750-800</v>
      </c>
      <c r="U354" s="31">
        <f t="shared" si="42"/>
        <v>0.06</v>
      </c>
      <c r="V354" s="30">
        <f t="shared" si="43"/>
        <v>79114.583894103576</v>
      </c>
      <c r="W354" s="30">
        <f t="shared" si="44"/>
        <v>25365.43115546531</v>
      </c>
      <c r="X354" s="30">
        <f t="shared" si="46"/>
        <v>25365.43115546531</v>
      </c>
      <c r="Y354" s="30">
        <f t="shared" si="47"/>
        <v>1521.9258693279185</v>
      </c>
    </row>
    <row r="355" spans="1:25" x14ac:dyDescent="0.15">
      <c r="A355" s="7">
        <v>1351</v>
      </c>
      <c r="B355" s="19">
        <v>45293</v>
      </c>
      <c r="C355" s="7">
        <v>360</v>
      </c>
      <c r="D355" s="19">
        <v>45747</v>
      </c>
      <c r="E355" s="7">
        <v>14</v>
      </c>
      <c r="F355" s="29">
        <v>235400</v>
      </c>
      <c r="G355" s="29">
        <v>216727.97398335452</v>
      </c>
      <c r="H355" s="29">
        <v>245208.33333333334</v>
      </c>
      <c r="I355" s="7">
        <v>96</v>
      </c>
      <c r="J355" s="7" t="s">
        <v>68</v>
      </c>
      <c r="K355" s="7">
        <v>737</v>
      </c>
      <c r="L355" s="7">
        <v>14</v>
      </c>
      <c r="M355" s="7" t="s">
        <v>59</v>
      </c>
      <c r="N355" s="10">
        <v>5.4806317044300314E-2</v>
      </c>
      <c r="O355" s="7">
        <v>0.3</v>
      </c>
      <c r="P355" s="7">
        <v>0.45</v>
      </c>
      <c r="R355" s="30">
        <f t="shared" si="45"/>
        <v>1059.3</v>
      </c>
      <c r="S355" s="7" t="str">
        <f t="shared" si="40"/>
        <v>&gt; 95</v>
      </c>
      <c r="T355" s="7" t="str">
        <f t="shared" si="41"/>
        <v>700-750</v>
      </c>
      <c r="U355" s="31">
        <f t="shared" si="42"/>
        <v>7.0000000000000007E-2</v>
      </c>
      <c r="V355" s="30">
        <f t="shared" si="43"/>
        <v>68269.311804756668</v>
      </c>
      <c r="W355" s="30">
        <f t="shared" si="44"/>
        <v>19137.289349188912</v>
      </c>
      <c r="X355" s="30">
        <f t="shared" si="46"/>
        <v>19137.289349188912</v>
      </c>
      <c r="Y355" s="30">
        <f t="shared" si="47"/>
        <v>1339.610254443224</v>
      </c>
    </row>
    <row r="356" spans="1:25" x14ac:dyDescent="0.15">
      <c r="A356" s="7">
        <v>1352</v>
      </c>
      <c r="B356" s="19">
        <v>45416</v>
      </c>
      <c r="C356" s="7">
        <v>360</v>
      </c>
      <c r="D356" s="19">
        <v>45747</v>
      </c>
      <c r="E356" s="7">
        <v>10</v>
      </c>
      <c r="F356" s="29">
        <v>560300</v>
      </c>
      <c r="G356" s="29">
        <v>521001.82219086122</v>
      </c>
      <c r="H356" s="29">
        <v>583645.83333333337</v>
      </c>
      <c r="I356" s="7">
        <v>96</v>
      </c>
      <c r="J356" s="7" t="s">
        <v>72</v>
      </c>
      <c r="K356" s="7">
        <v>779</v>
      </c>
      <c r="L356" s="7">
        <v>31</v>
      </c>
      <c r="M356" s="7" t="s">
        <v>59</v>
      </c>
      <c r="N356" s="10">
        <v>7.531568482514174E-2</v>
      </c>
      <c r="O356" s="7">
        <v>0.3</v>
      </c>
      <c r="P356" s="7">
        <v>0.32</v>
      </c>
      <c r="R356" s="30">
        <f t="shared" si="45"/>
        <v>1792.96</v>
      </c>
      <c r="S356" s="7" t="str">
        <f t="shared" si="40"/>
        <v>&gt; 95</v>
      </c>
      <c r="T356" s="7" t="str">
        <f t="shared" si="41"/>
        <v>750-800</v>
      </c>
      <c r="U356" s="31">
        <f t="shared" si="42"/>
        <v>0.06</v>
      </c>
      <c r="V356" s="30">
        <f t="shared" si="43"/>
        <v>164115.57399012128</v>
      </c>
      <c r="W356" s="30">
        <f t="shared" si="44"/>
        <v>50952.954967070953</v>
      </c>
      <c r="X356" s="30">
        <f t="shared" si="46"/>
        <v>50952.954967070953</v>
      </c>
      <c r="Y356" s="30">
        <f t="shared" si="47"/>
        <v>3057.1772980242572</v>
      </c>
    </row>
    <row r="357" spans="1:25" x14ac:dyDescent="0.15">
      <c r="A357" s="7">
        <v>1353</v>
      </c>
      <c r="B357" s="19">
        <v>45407</v>
      </c>
      <c r="C357" s="7">
        <v>360</v>
      </c>
      <c r="D357" s="19">
        <v>45747</v>
      </c>
      <c r="E357" s="7">
        <v>11</v>
      </c>
      <c r="F357" s="29">
        <v>464758</v>
      </c>
      <c r="G357" s="29">
        <v>427378.4393816042</v>
      </c>
      <c r="H357" s="29">
        <v>499739.78494623653</v>
      </c>
      <c r="I357" s="7">
        <v>93</v>
      </c>
      <c r="J357" s="7" t="s">
        <v>69</v>
      </c>
      <c r="K357" s="7">
        <v>604</v>
      </c>
      <c r="L357" s="7">
        <v>27</v>
      </c>
      <c r="M357" s="7" t="s">
        <v>59</v>
      </c>
      <c r="N357" s="10">
        <v>7.9626674235202491E-2</v>
      </c>
      <c r="O357" s="7">
        <v>0.25</v>
      </c>
      <c r="P357" s="7">
        <v>0.4</v>
      </c>
      <c r="R357" s="30">
        <f t="shared" si="45"/>
        <v>1859.0320000000002</v>
      </c>
      <c r="S357" s="7" t="str">
        <f t="shared" si="40"/>
        <v>90-95</v>
      </c>
      <c r="T357" s="7" t="str">
        <f t="shared" si="41"/>
        <v>&lt; 650</v>
      </c>
      <c r="U357" s="31">
        <f t="shared" si="42"/>
        <v>0.08</v>
      </c>
      <c r="V357" s="30">
        <f t="shared" si="43"/>
        <v>112186.84033767111</v>
      </c>
      <c r="W357" s="30">
        <f t="shared" si="44"/>
        <v>23968.544146383414</v>
      </c>
      <c r="X357" s="30">
        <f t="shared" si="46"/>
        <v>23968.544146383414</v>
      </c>
      <c r="Y357" s="30">
        <f t="shared" si="47"/>
        <v>1917.4835317106731</v>
      </c>
    </row>
    <row r="358" spans="1:25" x14ac:dyDescent="0.15">
      <c r="A358" s="7">
        <v>1354</v>
      </c>
      <c r="B358" s="19">
        <v>45449</v>
      </c>
      <c r="C358" s="7">
        <v>360</v>
      </c>
      <c r="D358" s="19">
        <v>45747</v>
      </c>
      <c r="E358" s="7">
        <v>9</v>
      </c>
      <c r="F358" s="29">
        <v>788266</v>
      </c>
      <c r="G358" s="29">
        <v>750048.40083417716</v>
      </c>
      <c r="H358" s="29">
        <v>875851.11111111112</v>
      </c>
      <c r="I358" s="7">
        <v>90</v>
      </c>
      <c r="J358" s="7" t="s">
        <v>74</v>
      </c>
      <c r="K358" s="7">
        <v>840</v>
      </c>
      <c r="L358" s="7">
        <v>16</v>
      </c>
      <c r="M358" s="7" t="s">
        <v>59</v>
      </c>
      <c r="N358" s="10">
        <v>5.0307318409908167E-2</v>
      </c>
      <c r="O358" s="7">
        <v>0.25</v>
      </c>
      <c r="P358" s="7">
        <v>0.26</v>
      </c>
      <c r="R358" s="30">
        <f t="shared" si="45"/>
        <v>2049.4915999999998</v>
      </c>
      <c r="S358" s="7" t="str">
        <f t="shared" si="40"/>
        <v>85-90</v>
      </c>
      <c r="T358" s="7" t="str">
        <f t="shared" si="41"/>
        <v>&gt; 800</v>
      </c>
      <c r="U358" s="31">
        <f t="shared" si="42"/>
        <v>0.01</v>
      </c>
      <c r="V358" s="30">
        <f t="shared" si="43"/>
        <v>196887.7052189715</v>
      </c>
      <c r="W358" s="30">
        <f t="shared" si="44"/>
        <v>43077.376431441633</v>
      </c>
      <c r="X358" s="30">
        <f t="shared" si="46"/>
        <v>43077.376431441633</v>
      </c>
      <c r="Y358" s="30">
        <f t="shared" si="47"/>
        <v>430.77376431441633</v>
      </c>
    </row>
    <row r="359" spans="1:25" x14ac:dyDescent="0.15">
      <c r="A359" s="7">
        <v>1355</v>
      </c>
      <c r="B359" s="19">
        <v>45303</v>
      </c>
      <c r="C359" s="7">
        <v>360</v>
      </c>
      <c r="D359" s="19">
        <v>45747</v>
      </c>
      <c r="E359" s="7">
        <v>14</v>
      </c>
      <c r="F359" s="29">
        <v>145887</v>
      </c>
      <c r="G359" s="29">
        <v>134451.80661512297</v>
      </c>
      <c r="H359" s="29">
        <v>165780.68181818182</v>
      </c>
      <c r="I359" s="7">
        <v>88</v>
      </c>
      <c r="J359" s="7" t="s">
        <v>60</v>
      </c>
      <c r="K359" s="7">
        <v>735</v>
      </c>
      <c r="L359" s="7">
        <v>47</v>
      </c>
      <c r="M359" s="7" t="s">
        <v>59</v>
      </c>
      <c r="N359" s="10">
        <v>5.3736177054945274E-2</v>
      </c>
      <c r="O359" s="7">
        <v>0.12</v>
      </c>
      <c r="P359" s="7">
        <v>0.3</v>
      </c>
      <c r="R359" s="30">
        <f t="shared" si="45"/>
        <v>437.661</v>
      </c>
      <c r="S359" s="7" t="str">
        <f t="shared" si="40"/>
        <v>85-90</v>
      </c>
      <c r="T359" s="7" t="str">
        <f t="shared" si="41"/>
        <v>700-750</v>
      </c>
      <c r="U359" s="31">
        <f t="shared" si="42"/>
        <v>0.03</v>
      </c>
      <c r="V359" s="30">
        <f t="shared" si="43"/>
        <v>16940.927633505493</v>
      </c>
      <c r="W359" s="30">
        <f t="shared" si="44"/>
        <v>260.81740042456659</v>
      </c>
      <c r="X359" s="30">
        <f t="shared" si="46"/>
        <v>260.81740042456659</v>
      </c>
      <c r="Y359" s="30">
        <f t="shared" si="47"/>
        <v>7.8245220127369972</v>
      </c>
    </row>
    <row r="360" spans="1:25" x14ac:dyDescent="0.15">
      <c r="A360" s="7">
        <v>1356</v>
      </c>
      <c r="B360" s="19">
        <v>45467</v>
      </c>
      <c r="C360" s="7">
        <v>360</v>
      </c>
      <c r="D360" s="19">
        <v>45747</v>
      </c>
      <c r="E360" s="7">
        <v>9</v>
      </c>
      <c r="F360" s="29">
        <v>467586</v>
      </c>
      <c r="G360" s="29">
        <v>438430.06887749792</v>
      </c>
      <c r="H360" s="29">
        <v>482047.42268041236</v>
      </c>
      <c r="I360" s="7">
        <v>97</v>
      </c>
      <c r="J360" s="7" t="s">
        <v>71</v>
      </c>
      <c r="K360" s="7">
        <v>683</v>
      </c>
      <c r="L360" s="7">
        <v>30</v>
      </c>
      <c r="M360" s="7" t="s">
        <v>59</v>
      </c>
      <c r="N360" s="10">
        <v>7.4065102384168732E-2</v>
      </c>
      <c r="O360" s="7">
        <v>0.35</v>
      </c>
      <c r="P360" s="7">
        <v>0.41</v>
      </c>
      <c r="R360" s="30">
        <f t="shared" si="45"/>
        <v>1917.1025999999997</v>
      </c>
      <c r="S360" s="7" t="str">
        <f t="shared" si="40"/>
        <v>&gt; 95</v>
      </c>
      <c r="T360" s="7" t="str">
        <f t="shared" si="41"/>
        <v>650-700</v>
      </c>
      <c r="U360" s="31">
        <f t="shared" si="42"/>
        <v>0.08</v>
      </c>
      <c r="V360" s="30">
        <f t="shared" si="43"/>
        <v>161123.05031248048</v>
      </c>
      <c r="W360" s="30">
        <f t="shared" si="44"/>
        <v>50611.263043022365</v>
      </c>
      <c r="X360" s="30">
        <f t="shared" si="46"/>
        <v>50611.263043022365</v>
      </c>
      <c r="Y360" s="30">
        <f t="shared" si="47"/>
        <v>4048.9010434417892</v>
      </c>
    </row>
    <row r="361" spans="1:25" x14ac:dyDescent="0.15">
      <c r="A361" s="7">
        <v>1357</v>
      </c>
      <c r="B361" s="19">
        <v>45384</v>
      </c>
      <c r="C361" s="7">
        <v>360</v>
      </c>
      <c r="D361" s="19">
        <v>45747</v>
      </c>
      <c r="E361" s="7">
        <v>11</v>
      </c>
      <c r="F361" s="29">
        <v>214076</v>
      </c>
      <c r="G361" s="29">
        <v>199034.6717560229</v>
      </c>
      <c r="H361" s="29">
        <v>237862.22222222222</v>
      </c>
      <c r="I361" s="7">
        <v>90</v>
      </c>
      <c r="J361" s="7" t="s">
        <v>61</v>
      </c>
      <c r="K361" s="7">
        <v>821</v>
      </c>
      <c r="L361" s="7">
        <v>40</v>
      </c>
      <c r="M361" s="7" t="s">
        <v>59</v>
      </c>
      <c r="N361" s="10">
        <v>6.60126041976863E-2</v>
      </c>
      <c r="O361" s="7">
        <v>0.25</v>
      </c>
      <c r="P361" s="7">
        <v>0.43</v>
      </c>
      <c r="R361" s="30">
        <f t="shared" si="45"/>
        <v>920.52679999999998</v>
      </c>
      <c r="S361" s="7" t="str">
        <f t="shared" si="40"/>
        <v>85-90</v>
      </c>
      <c r="T361" s="7" t="str">
        <f t="shared" si="41"/>
        <v>&gt; 800</v>
      </c>
      <c r="U361" s="31">
        <f t="shared" si="42"/>
        <v>0.01</v>
      </c>
      <c r="V361" s="30">
        <f t="shared" si="43"/>
        <v>52246.601335956017</v>
      </c>
      <c r="W361" s="30">
        <f t="shared" si="44"/>
        <v>6803.5164549351903</v>
      </c>
      <c r="X361" s="30">
        <f t="shared" si="46"/>
        <v>6803.5164549351903</v>
      </c>
      <c r="Y361" s="30">
        <f t="shared" si="47"/>
        <v>68.035164549351904</v>
      </c>
    </row>
    <row r="362" spans="1:25" x14ac:dyDescent="0.15">
      <c r="A362" s="7">
        <v>1358</v>
      </c>
      <c r="B362" s="19">
        <v>45455</v>
      </c>
      <c r="C362" s="7">
        <v>360</v>
      </c>
      <c r="D362" s="19">
        <v>45747</v>
      </c>
      <c r="E362" s="7">
        <v>9</v>
      </c>
      <c r="F362" s="29">
        <v>263417</v>
      </c>
      <c r="G362" s="29">
        <v>248151.74370581456</v>
      </c>
      <c r="H362" s="29">
        <v>286322.82608695648</v>
      </c>
      <c r="I362" s="7">
        <v>92</v>
      </c>
      <c r="J362" s="7" t="s">
        <v>64</v>
      </c>
      <c r="K362" s="7">
        <v>765</v>
      </c>
      <c r="L362" s="7">
        <v>21</v>
      </c>
      <c r="M362" s="7" t="s">
        <v>59</v>
      </c>
      <c r="N362" s="10">
        <v>6.679202846654228E-2</v>
      </c>
      <c r="O362" s="7">
        <v>0.25</v>
      </c>
      <c r="P362" s="7">
        <v>0.27</v>
      </c>
      <c r="R362" s="30">
        <f t="shared" si="45"/>
        <v>711.22590000000014</v>
      </c>
      <c r="S362" s="7" t="str">
        <f t="shared" si="40"/>
        <v>90-95</v>
      </c>
      <c r="T362" s="7" t="str">
        <f t="shared" si="41"/>
        <v>750-800</v>
      </c>
      <c r="U362" s="31">
        <f t="shared" si="42"/>
        <v>0.05</v>
      </c>
      <c r="V362" s="30">
        <f t="shared" si="43"/>
        <v>65139.832722776322</v>
      </c>
      <c r="W362" s="30">
        <f t="shared" si="44"/>
        <v>17184.928717192292</v>
      </c>
      <c r="X362" s="30">
        <f t="shared" si="46"/>
        <v>17184.928717192292</v>
      </c>
      <c r="Y362" s="30">
        <f t="shared" si="47"/>
        <v>859.24643585961462</v>
      </c>
    </row>
    <row r="363" spans="1:25" x14ac:dyDescent="0.15">
      <c r="A363" s="7">
        <v>1359</v>
      </c>
      <c r="B363" s="19">
        <v>45466</v>
      </c>
      <c r="C363" s="7">
        <v>360</v>
      </c>
      <c r="D363" s="19">
        <v>45747</v>
      </c>
      <c r="E363" s="7">
        <v>9</v>
      </c>
      <c r="F363" s="29">
        <v>196800</v>
      </c>
      <c r="G363" s="29">
        <v>184037.76763871146</v>
      </c>
      <c r="H363" s="29">
        <v>209361.70212765958</v>
      </c>
      <c r="I363" s="7">
        <v>94</v>
      </c>
      <c r="J363" s="7" t="s">
        <v>60</v>
      </c>
      <c r="K363" s="7">
        <v>640</v>
      </c>
      <c r="L363" s="7">
        <v>42</v>
      </c>
      <c r="M363" s="7" t="s">
        <v>59</v>
      </c>
      <c r="N363" s="10">
        <v>7.8096921868697225E-2</v>
      </c>
      <c r="O363" s="7">
        <v>0.25</v>
      </c>
      <c r="P363" s="7">
        <v>0.28999999999999998</v>
      </c>
      <c r="R363" s="30">
        <f t="shared" si="45"/>
        <v>570.71999999999991</v>
      </c>
      <c r="S363" s="7" t="str">
        <f t="shared" si="40"/>
        <v>90-95</v>
      </c>
      <c r="T363" s="7" t="str">
        <f t="shared" si="41"/>
        <v>&lt; 650</v>
      </c>
      <c r="U363" s="31">
        <f t="shared" si="42"/>
        <v>0.08</v>
      </c>
      <c r="V363" s="30">
        <f t="shared" si="43"/>
        <v>48309.914005161758</v>
      </c>
      <c r="W363" s="30">
        <f t="shared" si="44"/>
        <v>15282.209212136397</v>
      </c>
      <c r="X363" s="30">
        <f t="shared" si="46"/>
        <v>15282.209212136397</v>
      </c>
      <c r="Y363" s="30">
        <f t="shared" si="47"/>
        <v>1222.5767369709117</v>
      </c>
    </row>
    <row r="364" spans="1:25" x14ac:dyDescent="0.15">
      <c r="A364" s="7">
        <v>1360</v>
      </c>
      <c r="B364" s="19">
        <v>45309</v>
      </c>
      <c r="C364" s="7">
        <v>360</v>
      </c>
      <c r="D364" s="19">
        <v>45747</v>
      </c>
      <c r="E364" s="7">
        <v>14</v>
      </c>
      <c r="F364" s="29">
        <v>600464</v>
      </c>
      <c r="G364" s="29">
        <v>541478.13086223195</v>
      </c>
      <c r="H364" s="29">
        <v>682345.45454545459</v>
      </c>
      <c r="I364" s="7">
        <v>88</v>
      </c>
      <c r="J364" s="7" t="s">
        <v>66</v>
      </c>
      <c r="K364" s="7">
        <v>642</v>
      </c>
      <c r="L364" s="7">
        <v>38</v>
      </c>
      <c r="M364" s="7" t="s">
        <v>59</v>
      </c>
      <c r="N364" s="10">
        <v>7.5358371700340904E-2</v>
      </c>
      <c r="O364" s="7">
        <v>0.12</v>
      </c>
      <c r="P364" s="7">
        <v>0.42</v>
      </c>
      <c r="R364" s="30">
        <f t="shared" si="45"/>
        <v>2521.9488000000001</v>
      </c>
      <c r="S364" s="7" t="str">
        <f t="shared" si="40"/>
        <v>85-90</v>
      </c>
      <c r="T364" s="7" t="str">
        <f t="shared" si="41"/>
        <v>&lt; 650</v>
      </c>
      <c r="U364" s="31">
        <f t="shared" si="42"/>
        <v>0.05</v>
      </c>
      <c r="V364" s="30">
        <f t="shared" si="43"/>
        <v>68226.244488641227</v>
      </c>
      <c r="W364" s="30">
        <f t="shared" si="44"/>
        <v>-11441.598958292743</v>
      </c>
      <c r="X364" s="30">
        <f t="shared" si="46"/>
        <v>0</v>
      </c>
      <c r="Y364" s="30">
        <f t="shared" si="47"/>
        <v>0</v>
      </c>
    </row>
    <row r="365" spans="1:25" x14ac:dyDescent="0.15">
      <c r="A365" s="7">
        <v>1361</v>
      </c>
      <c r="B365" s="19">
        <v>45293</v>
      </c>
      <c r="C365" s="7">
        <v>360</v>
      </c>
      <c r="D365" s="19">
        <v>45747</v>
      </c>
      <c r="E365" s="7">
        <v>14</v>
      </c>
      <c r="F365" s="29">
        <v>365786</v>
      </c>
      <c r="G365" s="29">
        <v>333789.49487654993</v>
      </c>
      <c r="H365" s="29">
        <v>389134.04255319154</v>
      </c>
      <c r="I365" s="7">
        <v>94</v>
      </c>
      <c r="J365" s="7" t="s">
        <v>67</v>
      </c>
      <c r="K365" s="7">
        <v>676</v>
      </c>
      <c r="L365" s="7">
        <v>1</v>
      </c>
      <c r="M365" s="7" t="s">
        <v>59</v>
      </c>
      <c r="N365" s="10">
        <v>6.38935722025189E-2</v>
      </c>
      <c r="O365" s="7">
        <v>0.25</v>
      </c>
      <c r="P365" s="7">
        <v>0.36</v>
      </c>
      <c r="R365" s="30">
        <f t="shared" si="45"/>
        <v>1316.8296</v>
      </c>
      <c r="S365" s="7" t="str">
        <f t="shared" si="40"/>
        <v>90-95</v>
      </c>
      <c r="T365" s="7" t="str">
        <f t="shared" si="41"/>
        <v>650-700</v>
      </c>
      <c r="U365" s="31">
        <f t="shared" si="42"/>
        <v>7.0000000000000007E-2</v>
      </c>
      <c r="V365" s="30">
        <f t="shared" si="43"/>
        <v>87619.742405094366</v>
      </c>
      <c r="W365" s="30">
        <f t="shared" si="44"/>
        <v>19715.033450164658</v>
      </c>
      <c r="X365" s="30">
        <f t="shared" si="46"/>
        <v>19715.033450164658</v>
      </c>
      <c r="Y365" s="30">
        <f t="shared" si="47"/>
        <v>1380.0523415115263</v>
      </c>
    </row>
    <row r="366" spans="1:25" x14ac:dyDescent="0.15">
      <c r="A366" s="7">
        <v>1362</v>
      </c>
      <c r="B366" s="19">
        <v>45294</v>
      </c>
      <c r="C366" s="7">
        <v>360</v>
      </c>
      <c r="D366" s="19">
        <v>45747</v>
      </c>
      <c r="E366" s="7">
        <v>14</v>
      </c>
      <c r="F366" s="29">
        <v>537629</v>
      </c>
      <c r="G366" s="29">
        <v>483246.57736184308</v>
      </c>
      <c r="H366" s="29">
        <v>647745.78313253017</v>
      </c>
      <c r="I366" s="7">
        <v>83</v>
      </c>
      <c r="J366" s="7" t="s">
        <v>61</v>
      </c>
      <c r="K366" s="7">
        <v>729</v>
      </c>
      <c r="L366" s="7">
        <v>15</v>
      </c>
      <c r="M366" s="7" t="s">
        <v>59</v>
      </c>
      <c r="N366" s="10">
        <v>7.8381978007579345E-2</v>
      </c>
      <c r="O366" s="7">
        <v>0.12</v>
      </c>
      <c r="P366" s="7">
        <v>0.42</v>
      </c>
      <c r="R366" s="30">
        <f t="shared" si="45"/>
        <v>2258.0418</v>
      </c>
      <c r="S366" s="7" t="str">
        <f t="shared" si="40"/>
        <v>80-85</v>
      </c>
      <c r="T366" s="7" t="str">
        <f t="shared" si="41"/>
        <v>700-750</v>
      </c>
      <c r="U366" s="31">
        <f t="shared" si="42"/>
        <v>2.5000000000000001E-2</v>
      </c>
      <c r="V366" s="30">
        <f t="shared" si="43"/>
        <v>60889.068747592224</v>
      </c>
      <c r="W366" s="30">
        <f t="shared" si="44"/>
        <v>-43175.009432715364</v>
      </c>
      <c r="X366" s="30">
        <f t="shared" si="46"/>
        <v>0</v>
      </c>
      <c r="Y366" s="30">
        <f t="shared" si="47"/>
        <v>0</v>
      </c>
    </row>
    <row r="367" spans="1:25" x14ac:dyDescent="0.15">
      <c r="A367" s="7">
        <v>1363</v>
      </c>
      <c r="B367" s="19">
        <v>45323</v>
      </c>
      <c r="C367" s="7">
        <v>360</v>
      </c>
      <c r="D367" s="19">
        <v>45747</v>
      </c>
      <c r="E367" s="7">
        <v>13</v>
      </c>
      <c r="F367" s="29">
        <v>760502</v>
      </c>
      <c r="G367" s="29">
        <v>705685.16784345731</v>
      </c>
      <c r="H367" s="29">
        <v>784022.68041237118</v>
      </c>
      <c r="I367" s="7">
        <v>97</v>
      </c>
      <c r="J367" s="7" t="s">
        <v>62</v>
      </c>
      <c r="K367" s="7">
        <v>691</v>
      </c>
      <c r="L367" s="7">
        <v>41</v>
      </c>
      <c r="M367" s="7" t="s">
        <v>59</v>
      </c>
      <c r="N367" s="10">
        <v>5.286393711936966E-2</v>
      </c>
      <c r="O367" s="7">
        <v>0.35</v>
      </c>
      <c r="P367" s="7">
        <v>0.23</v>
      </c>
      <c r="R367" s="30">
        <f t="shared" si="45"/>
        <v>1749.1546000000003</v>
      </c>
      <c r="S367" s="7" t="str">
        <f t="shared" si="40"/>
        <v>&gt; 95</v>
      </c>
      <c r="T367" s="7" t="str">
        <f t="shared" si="41"/>
        <v>650-700</v>
      </c>
      <c r="U367" s="31">
        <f t="shared" si="42"/>
        <v>0.08</v>
      </c>
      <c r="V367" s="30">
        <f t="shared" si="43"/>
        <v>259339.29918247054</v>
      </c>
      <c r="W367" s="30">
        <f t="shared" si="44"/>
        <v>74550.147885114653</v>
      </c>
      <c r="X367" s="30">
        <f t="shared" si="46"/>
        <v>74550.147885114653</v>
      </c>
      <c r="Y367" s="30">
        <f t="shared" si="47"/>
        <v>5964.0118308091724</v>
      </c>
    </row>
    <row r="368" spans="1:25" x14ac:dyDescent="0.15">
      <c r="A368" s="7">
        <v>1364</v>
      </c>
      <c r="B368" s="19">
        <v>45353</v>
      </c>
      <c r="C368" s="7">
        <v>360</v>
      </c>
      <c r="D368" s="19">
        <v>45747</v>
      </c>
      <c r="E368" s="7">
        <v>12</v>
      </c>
      <c r="F368" s="29">
        <v>343781</v>
      </c>
      <c r="G368" s="29">
        <v>315046.54236818606</v>
      </c>
      <c r="H368" s="29">
        <v>373675</v>
      </c>
      <c r="I368" s="7">
        <v>92</v>
      </c>
      <c r="J368" s="7" t="s">
        <v>71</v>
      </c>
      <c r="K368" s="7">
        <v>746</v>
      </c>
      <c r="L368" s="7">
        <v>27</v>
      </c>
      <c r="M368" s="7" t="s">
        <v>59</v>
      </c>
      <c r="N368" s="10">
        <v>7.4607686121904576E-2</v>
      </c>
      <c r="O368" s="7">
        <v>0.25</v>
      </c>
      <c r="P368" s="7">
        <v>0.28999999999999998</v>
      </c>
      <c r="R368" s="30">
        <f t="shared" si="45"/>
        <v>996.96489999999994</v>
      </c>
      <c r="S368" s="7" t="str">
        <f t="shared" si="40"/>
        <v>90-95</v>
      </c>
      <c r="T368" s="7" t="str">
        <f t="shared" si="41"/>
        <v>700-750</v>
      </c>
      <c r="U368" s="31">
        <f t="shared" si="42"/>
        <v>0.06</v>
      </c>
      <c r="V368" s="30">
        <f t="shared" si="43"/>
        <v>82699.717371648847</v>
      </c>
      <c r="W368" s="30">
        <f t="shared" si="44"/>
        <v>13175.119486595388</v>
      </c>
      <c r="X368" s="30">
        <f t="shared" si="46"/>
        <v>13175.119486595388</v>
      </c>
      <c r="Y368" s="30">
        <f t="shared" si="47"/>
        <v>790.50716919572324</v>
      </c>
    </row>
    <row r="369" spans="1:25" x14ac:dyDescent="0.15">
      <c r="A369" s="7">
        <v>1365</v>
      </c>
      <c r="B369" s="19">
        <v>45415</v>
      </c>
      <c r="C369" s="7">
        <v>360</v>
      </c>
      <c r="D369" s="19">
        <v>45747</v>
      </c>
      <c r="E369" s="7">
        <v>10</v>
      </c>
      <c r="F369" s="29">
        <v>729028</v>
      </c>
      <c r="G369" s="29">
        <v>686867.23226986872</v>
      </c>
      <c r="H369" s="29">
        <v>847706.97674418602</v>
      </c>
      <c r="I369" s="7">
        <v>86</v>
      </c>
      <c r="J369" s="7" t="s">
        <v>71</v>
      </c>
      <c r="K369" s="7">
        <v>754</v>
      </c>
      <c r="L369" s="7">
        <v>2</v>
      </c>
      <c r="M369" s="7" t="s">
        <v>59</v>
      </c>
      <c r="N369" s="10">
        <v>5.6670616983859355E-2</v>
      </c>
      <c r="O369" s="7">
        <v>0.12</v>
      </c>
      <c r="P369" s="7">
        <v>0.25</v>
      </c>
      <c r="R369" s="30">
        <f t="shared" si="45"/>
        <v>1822.57</v>
      </c>
      <c r="S369" s="7" t="str">
        <f t="shared" si="40"/>
        <v>85-90</v>
      </c>
      <c r="T369" s="7" t="str">
        <f t="shared" si="41"/>
        <v>750-800</v>
      </c>
      <c r="U369" s="31">
        <f t="shared" si="42"/>
        <v>0.02</v>
      </c>
      <c r="V369" s="30">
        <f t="shared" si="43"/>
        <v>86545.271266003459</v>
      </c>
      <c r="W369" s="30">
        <f t="shared" si="44"/>
        <v>659.66365080408286</v>
      </c>
      <c r="X369" s="30">
        <f t="shared" si="46"/>
        <v>659.66365080408286</v>
      </c>
      <c r="Y369" s="30">
        <f t="shared" si="47"/>
        <v>13.193273016081658</v>
      </c>
    </row>
    <row r="370" spans="1:25" x14ac:dyDescent="0.15">
      <c r="A370" s="7">
        <v>1366</v>
      </c>
      <c r="B370" s="19">
        <v>45405</v>
      </c>
      <c r="C370" s="7">
        <v>360</v>
      </c>
      <c r="D370" s="19">
        <v>45747</v>
      </c>
      <c r="E370" s="7">
        <v>11</v>
      </c>
      <c r="F370" s="29">
        <v>107584</v>
      </c>
      <c r="G370" s="29">
        <v>101169.36394076914</v>
      </c>
      <c r="H370" s="29">
        <v>110911.34020618557</v>
      </c>
      <c r="I370" s="7">
        <v>97</v>
      </c>
      <c r="J370" s="7" t="s">
        <v>68</v>
      </c>
      <c r="K370" s="7">
        <v>632</v>
      </c>
      <c r="L370" s="7">
        <v>44</v>
      </c>
      <c r="M370" s="7" t="s">
        <v>59</v>
      </c>
      <c r="N370" s="10">
        <v>5.0851945813170277E-2</v>
      </c>
      <c r="O370" s="7">
        <v>0.35</v>
      </c>
      <c r="P370" s="7">
        <v>0.35</v>
      </c>
      <c r="R370" s="30">
        <f t="shared" si="45"/>
        <v>376.54399999999993</v>
      </c>
      <c r="S370" s="7" t="str">
        <f t="shared" si="40"/>
        <v>&gt; 95</v>
      </c>
      <c r="T370" s="7" t="str">
        <f t="shared" si="41"/>
        <v>&lt; 650</v>
      </c>
      <c r="U370" s="31">
        <f t="shared" si="42"/>
        <v>0.11</v>
      </c>
      <c r="V370" s="30">
        <f t="shared" si="43"/>
        <v>37179.741248232654</v>
      </c>
      <c r="W370" s="30">
        <f t="shared" si="44"/>
        <v>11953.19296254986</v>
      </c>
      <c r="X370" s="30">
        <f t="shared" si="46"/>
        <v>11953.19296254986</v>
      </c>
      <c r="Y370" s="30">
        <f t="shared" si="47"/>
        <v>1314.8512258804847</v>
      </c>
    </row>
    <row r="371" spans="1:25" x14ac:dyDescent="0.15">
      <c r="A371" s="7">
        <v>1367</v>
      </c>
      <c r="B371" s="19">
        <v>45452</v>
      </c>
      <c r="C371" s="7">
        <v>360</v>
      </c>
      <c r="D371" s="19">
        <v>45747</v>
      </c>
      <c r="E371" s="7">
        <v>9</v>
      </c>
      <c r="F371" s="29">
        <v>376947</v>
      </c>
      <c r="G371" s="29">
        <v>358138.18737589376</v>
      </c>
      <c r="H371" s="29">
        <v>401007.44680851063</v>
      </c>
      <c r="I371" s="7">
        <v>94</v>
      </c>
      <c r="J371" s="7" t="s">
        <v>72</v>
      </c>
      <c r="K371" s="7">
        <v>847</v>
      </c>
      <c r="L371" s="7">
        <v>10</v>
      </c>
      <c r="M371" s="7" t="s">
        <v>59</v>
      </c>
      <c r="N371" s="10">
        <v>5.2857427443461204E-2</v>
      </c>
      <c r="O371" s="7">
        <v>0.25</v>
      </c>
      <c r="P371" s="7">
        <v>0.4</v>
      </c>
      <c r="R371" s="30">
        <f t="shared" si="45"/>
        <v>1507.7880000000002</v>
      </c>
      <c r="S371" s="7" t="str">
        <f t="shared" si="40"/>
        <v>90-95</v>
      </c>
      <c r="T371" s="7" t="str">
        <f t="shared" si="41"/>
        <v>&gt; 800</v>
      </c>
      <c r="U371" s="31">
        <f t="shared" si="42"/>
        <v>0.04</v>
      </c>
      <c r="V371" s="30">
        <f t="shared" si="43"/>
        <v>94011.274186172115</v>
      </c>
      <c r="W371" s="30">
        <f t="shared" si="44"/>
        <v>35188.766957454442</v>
      </c>
      <c r="X371" s="30">
        <f t="shared" si="46"/>
        <v>35188.766957454442</v>
      </c>
      <c r="Y371" s="30">
        <f t="shared" si="47"/>
        <v>1407.5506782981777</v>
      </c>
    </row>
    <row r="372" spans="1:25" x14ac:dyDescent="0.15">
      <c r="A372" s="7">
        <v>1368</v>
      </c>
      <c r="B372" s="19">
        <v>45313</v>
      </c>
      <c r="C372" s="7">
        <v>360</v>
      </c>
      <c r="D372" s="19">
        <v>45747</v>
      </c>
      <c r="E372" s="7">
        <v>14</v>
      </c>
      <c r="F372" s="29">
        <v>768156</v>
      </c>
      <c r="G372" s="29">
        <v>703571.48191292444</v>
      </c>
      <c r="H372" s="29">
        <v>863096.62921348319</v>
      </c>
      <c r="I372" s="7">
        <v>89</v>
      </c>
      <c r="J372" s="7" t="s">
        <v>61</v>
      </c>
      <c r="K372" s="7">
        <v>697</v>
      </c>
      <c r="L372" s="7">
        <v>14</v>
      </c>
      <c r="M372" s="7" t="s">
        <v>59</v>
      </c>
      <c r="N372" s="10">
        <v>6.0155786660457504E-2</v>
      </c>
      <c r="O372" s="7">
        <v>0.12</v>
      </c>
      <c r="P372" s="7">
        <v>0.32</v>
      </c>
      <c r="R372" s="30">
        <f t="shared" si="45"/>
        <v>2458.0992000000001</v>
      </c>
      <c r="S372" s="7" t="str">
        <f t="shared" si="40"/>
        <v>85-90</v>
      </c>
      <c r="T372" s="7" t="str">
        <f t="shared" si="41"/>
        <v>650-700</v>
      </c>
      <c r="U372" s="31">
        <f t="shared" si="42"/>
        <v>0.04</v>
      </c>
      <c r="V372" s="30">
        <f t="shared" si="43"/>
        <v>88650.006721028476</v>
      </c>
      <c r="W372" s="30">
        <f t="shared" si="44"/>
        <v>5117.9211771100527</v>
      </c>
      <c r="X372" s="30">
        <f t="shared" si="46"/>
        <v>5117.9211771100527</v>
      </c>
      <c r="Y372" s="30">
        <f t="shared" si="47"/>
        <v>204.7168470844021</v>
      </c>
    </row>
    <row r="373" spans="1:25" x14ac:dyDescent="0.15">
      <c r="A373" s="7">
        <v>1369</v>
      </c>
      <c r="B373" s="19">
        <v>45356</v>
      </c>
      <c r="C373" s="7">
        <v>360</v>
      </c>
      <c r="D373" s="19">
        <v>45747</v>
      </c>
      <c r="E373" s="7">
        <v>12</v>
      </c>
      <c r="F373" s="29">
        <v>572663</v>
      </c>
      <c r="G373" s="29">
        <v>524671.1998287132</v>
      </c>
      <c r="H373" s="29">
        <v>673721.17647058831</v>
      </c>
      <c r="I373" s="7">
        <v>85</v>
      </c>
      <c r="J373" s="7" t="s">
        <v>66</v>
      </c>
      <c r="K373" s="7">
        <v>623</v>
      </c>
      <c r="L373" s="7">
        <v>28</v>
      </c>
      <c r="M373" s="7" t="s">
        <v>59</v>
      </c>
      <c r="N373" s="10">
        <v>7.4876898460315144E-2</v>
      </c>
      <c r="O373" s="7">
        <v>0.12</v>
      </c>
      <c r="P373" s="7">
        <v>0.36</v>
      </c>
      <c r="R373" s="30">
        <f t="shared" si="45"/>
        <v>2061.5868</v>
      </c>
      <c r="S373" s="7" t="str">
        <f t="shared" si="40"/>
        <v>80-85</v>
      </c>
      <c r="T373" s="7" t="str">
        <f t="shared" si="41"/>
        <v>&lt; 650</v>
      </c>
      <c r="U373" s="31">
        <f t="shared" si="42"/>
        <v>0.04</v>
      </c>
      <c r="V373" s="30">
        <f t="shared" si="43"/>
        <v>66108.571178417871</v>
      </c>
      <c r="W373" s="30">
        <f t="shared" si="44"/>
        <v>-21758.240179851069</v>
      </c>
      <c r="X373" s="30">
        <f t="shared" si="46"/>
        <v>0</v>
      </c>
      <c r="Y373" s="30">
        <f t="shared" si="47"/>
        <v>0</v>
      </c>
    </row>
    <row r="374" spans="1:25" x14ac:dyDescent="0.15">
      <c r="A374" s="7">
        <v>1370</v>
      </c>
      <c r="B374" s="19">
        <v>45333</v>
      </c>
      <c r="C374" s="7">
        <v>360</v>
      </c>
      <c r="D374" s="19">
        <v>45747</v>
      </c>
      <c r="E374" s="7">
        <v>13</v>
      </c>
      <c r="F374" s="29">
        <v>364973</v>
      </c>
      <c r="G374" s="29">
        <v>337197.8379764643</v>
      </c>
      <c r="H374" s="29">
        <v>401069.23076923075</v>
      </c>
      <c r="I374" s="7">
        <v>91</v>
      </c>
      <c r="J374" s="7" t="s">
        <v>66</v>
      </c>
      <c r="K374" s="7">
        <v>635</v>
      </c>
      <c r="L374" s="7">
        <v>12</v>
      </c>
      <c r="M374" s="7" t="s">
        <v>59</v>
      </c>
      <c r="N374" s="10">
        <v>5.7787375073091035E-2</v>
      </c>
      <c r="O374" s="7">
        <v>0.25</v>
      </c>
      <c r="P374" s="7">
        <v>0.26</v>
      </c>
      <c r="R374" s="30">
        <f t="shared" si="45"/>
        <v>948.92980000000011</v>
      </c>
      <c r="S374" s="7" t="str">
        <f t="shared" si="40"/>
        <v>90-95</v>
      </c>
      <c r="T374" s="7" t="str">
        <f t="shared" si="41"/>
        <v>&lt; 650</v>
      </c>
      <c r="U374" s="31">
        <f t="shared" si="42"/>
        <v>0.08</v>
      </c>
      <c r="V374" s="30">
        <f t="shared" si="43"/>
        <v>88514.432468821877</v>
      </c>
      <c r="W374" s="30">
        <f t="shared" si="44"/>
        <v>13148.88372144138</v>
      </c>
      <c r="X374" s="30">
        <f t="shared" si="46"/>
        <v>13148.88372144138</v>
      </c>
      <c r="Y374" s="30">
        <f t="shared" si="47"/>
        <v>1051.9106977153103</v>
      </c>
    </row>
    <row r="375" spans="1:25" x14ac:dyDescent="0.15">
      <c r="A375" s="7">
        <v>1371</v>
      </c>
      <c r="B375" s="19">
        <v>45331</v>
      </c>
      <c r="C375" s="7">
        <v>360</v>
      </c>
      <c r="D375" s="19">
        <v>45747</v>
      </c>
      <c r="E375" s="7">
        <v>13</v>
      </c>
      <c r="F375" s="29">
        <v>607547</v>
      </c>
      <c r="G375" s="29">
        <v>562845.11932464573</v>
      </c>
      <c r="H375" s="29">
        <v>682637.07865168538</v>
      </c>
      <c r="I375" s="7">
        <v>89</v>
      </c>
      <c r="J375" s="7" t="s">
        <v>69</v>
      </c>
      <c r="K375" s="7">
        <v>757</v>
      </c>
      <c r="L375" s="7">
        <v>18</v>
      </c>
      <c r="M375" s="7" t="s">
        <v>59</v>
      </c>
      <c r="N375" s="10">
        <v>5.4711769914190737E-2</v>
      </c>
      <c r="O375" s="7">
        <v>0.12</v>
      </c>
      <c r="P375" s="7">
        <v>0.38</v>
      </c>
      <c r="R375" s="30">
        <f t="shared" si="45"/>
        <v>2308.6786000000002</v>
      </c>
      <c r="S375" s="7" t="str">
        <f t="shared" si="40"/>
        <v>85-90</v>
      </c>
      <c r="T375" s="7" t="str">
        <f t="shared" si="41"/>
        <v>750-800</v>
      </c>
      <c r="U375" s="31">
        <f t="shared" si="42"/>
        <v>0.02</v>
      </c>
      <c r="V375" s="30">
        <f t="shared" si="43"/>
        <v>70918.485034905359</v>
      </c>
      <c r="W375" s="30">
        <f t="shared" si="44"/>
        <v>10745.858436945477</v>
      </c>
      <c r="X375" s="30">
        <f t="shared" si="46"/>
        <v>10745.858436945477</v>
      </c>
      <c r="Y375" s="30">
        <f t="shared" si="47"/>
        <v>214.91716873890954</v>
      </c>
    </row>
    <row r="376" spans="1:25" x14ac:dyDescent="0.15">
      <c r="A376" s="7">
        <v>1372</v>
      </c>
      <c r="B376" s="19">
        <v>45378</v>
      </c>
      <c r="C376" s="7">
        <v>360</v>
      </c>
      <c r="D376" s="19">
        <v>45747</v>
      </c>
      <c r="E376" s="7">
        <v>12</v>
      </c>
      <c r="F376" s="29">
        <v>153729</v>
      </c>
      <c r="G376" s="29">
        <v>140824.6482293529</v>
      </c>
      <c r="H376" s="29">
        <v>167096.73913043478</v>
      </c>
      <c r="I376" s="7">
        <v>92</v>
      </c>
      <c r="J376" s="7" t="s">
        <v>62</v>
      </c>
      <c r="K376" s="7">
        <v>690</v>
      </c>
      <c r="L376" s="7">
        <v>46</v>
      </c>
      <c r="M376" s="7" t="s">
        <v>59</v>
      </c>
      <c r="N376" s="10">
        <v>7.5044376712203639E-2</v>
      </c>
      <c r="O376" s="7">
        <v>0.25</v>
      </c>
      <c r="P376" s="7">
        <v>0.3</v>
      </c>
      <c r="R376" s="30">
        <f t="shared" si="45"/>
        <v>461.18699999999995</v>
      </c>
      <c r="S376" s="7" t="str">
        <f t="shared" si="40"/>
        <v>90-95</v>
      </c>
      <c r="T376" s="7" t="str">
        <f t="shared" si="41"/>
        <v>650-700</v>
      </c>
      <c r="U376" s="31">
        <f t="shared" si="42"/>
        <v>7.0000000000000007E-2</v>
      </c>
      <c r="V376" s="30">
        <f t="shared" si="43"/>
        <v>36966.470160205135</v>
      </c>
      <c r="W376" s="30">
        <f t="shared" si="44"/>
        <v>5833.6523799509741</v>
      </c>
      <c r="X376" s="30">
        <f t="shared" si="46"/>
        <v>5833.6523799509741</v>
      </c>
      <c r="Y376" s="30">
        <f t="shared" si="47"/>
        <v>408.35566659656826</v>
      </c>
    </row>
    <row r="377" spans="1:25" x14ac:dyDescent="0.15">
      <c r="A377" s="7">
        <v>1373</v>
      </c>
      <c r="B377" s="19">
        <v>45346</v>
      </c>
      <c r="C377" s="7">
        <v>360</v>
      </c>
      <c r="D377" s="19">
        <v>45747</v>
      </c>
      <c r="E377" s="7">
        <v>13</v>
      </c>
      <c r="F377" s="29">
        <v>482640</v>
      </c>
      <c r="G377" s="29">
        <v>448022.09730470937</v>
      </c>
      <c r="H377" s="29">
        <v>502750</v>
      </c>
      <c r="I377" s="7">
        <v>96</v>
      </c>
      <c r="J377" s="7" t="s">
        <v>70</v>
      </c>
      <c r="K377" s="7">
        <v>842</v>
      </c>
      <c r="L377" s="7">
        <v>29</v>
      </c>
      <c r="M377" s="7" t="s">
        <v>59</v>
      </c>
      <c r="N377" s="10">
        <v>5.2425041104449337E-2</v>
      </c>
      <c r="O377" s="7">
        <v>0.3</v>
      </c>
      <c r="P377" s="7">
        <v>0.31</v>
      </c>
      <c r="R377" s="30">
        <f t="shared" si="45"/>
        <v>1496.184</v>
      </c>
      <c r="S377" s="7" t="str">
        <f t="shared" si="40"/>
        <v>&gt; 95</v>
      </c>
      <c r="T377" s="7" t="str">
        <f t="shared" si="41"/>
        <v>&gt; 800</v>
      </c>
      <c r="U377" s="31">
        <f t="shared" si="42"/>
        <v>0.05</v>
      </c>
      <c r="V377" s="30">
        <f t="shared" si="43"/>
        <v>141126.96065098347</v>
      </c>
      <c r="W377" s="30">
        <f t="shared" si="44"/>
        <v>43085.702169944881</v>
      </c>
      <c r="X377" s="30">
        <f t="shared" si="46"/>
        <v>43085.702169944881</v>
      </c>
      <c r="Y377" s="30">
        <f t="shared" si="47"/>
        <v>2154.285108497244</v>
      </c>
    </row>
    <row r="378" spans="1:25" x14ac:dyDescent="0.15">
      <c r="A378" s="7">
        <v>1374</v>
      </c>
      <c r="B378" s="19">
        <v>45345</v>
      </c>
      <c r="C378" s="7">
        <v>360</v>
      </c>
      <c r="D378" s="19">
        <v>45747</v>
      </c>
      <c r="E378" s="7">
        <v>13</v>
      </c>
      <c r="F378" s="29">
        <v>588566</v>
      </c>
      <c r="G378" s="29">
        <v>540162.6823500474</v>
      </c>
      <c r="H378" s="29">
        <v>632866.66666666663</v>
      </c>
      <c r="I378" s="7">
        <v>93</v>
      </c>
      <c r="J378" s="7" t="s">
        <v>62</v>
      </c>
      <c r="K378" s="7">
        <v>740</v>
      </c>
      <c r="L378" s="7">
        <v>17</v>
      </c>
      <c r="M378" s="7" t="s">
        <v>59</v>
      </c>
      <c r="N378" s="10">
        <v>6.5082518985461704E-2</v>
      </c>
      <c r="O378" s="7">
        <v>0.25</v>
      </c>
      <c r="P378" s="7">
        <v>0.37</v>
      </c>
      <c r="R378" s="30">
        <f t="shared" si="45"/>
        <v>2177.6941999999999</v>
      </c>
      <c r="S378" s="7" t="str">
        <f t="shared" si="40"/>
        <v>90-95</v>
      </c>
      <c r="T378" s="7" t="str">
        <f t="shared" si="41"/>
        <v>700-750</v>
      </c>
      <c r="U378" s="31">
        <f t="shared" si="42"/>
        <v>0.06</v>
      </c>
      <c r="V378" s="30">
        <f t="shared" si="43"/>
        <v>141792.70411688744</v>
      </c>
      <c r="W378" s="30">
        <f t="shared" si="44"/>
        <v>29234.14980088314</v>
      </c>
      <c r="X378" s="30">
        <f t="shared" si="46"/>
        <v>29234.14980088314</v>
      </c>
      <c r="Y378" s="30">
        <f t="shared" si="47"/>
        <v>1754.0489880529883</v>
      </c>
    </row>
    <row r="379" spans="1:25" x14ac:dyDescent="0.15">
      <c r="A379" s="7">
        <v>1375</v>
      </c>
      <c r="B379" s="19">
        <v>45393</v>
      </c>
      <c r="C379" s="7">
        <v>360</v>
      </c>
      <c r="D379" s="19">
        <v>45747</v>
      </c>
      <c r="E379" s="7">
        <v>11</v>
      </c>
      <c r="F379" s="29">
        <v>562938</v>
      </c>
      <c r="G379" s="29">
        <v>517846.25396761904</v>
      </c>
      <c r="H379" s="29">
        <v>605309.67741935479</v>
      </c>
      <c r="I379" s="7">
        <v>93</v>
      </c>
      <c r="J379" s="7" t="s">
        <v>73</v>
      </c>
      <c r="K379" s="7">
        <v>839</v>
      </c>
      <c r="L379" s="7">
        <v>35</v>
      </c>
      <c r="M379" s="7" t="s">
        <v>59</v>
      </c>
      <c r="N379" s="10">
        <v>7.9199017177438005E-2</v>
      </c>
      <c r="O379" s="7">
        <v>0.25</v>
      </c>
      <c r="P379" s="7">
        <v>0.44</v>
      </c>
      <c r="R379" s="30">
        <f t="shared" si="45"/>
        <v>2476.9272000000001</v>
      </c>
      <c r="S379" s="7" t="str">
        <f t="shared" si="40"/>
        <v>90-95</v>
      </c>
      <c r="T379" s="7" t="str">
        <f t="shared" si="41"/>
        <v>&gt; 800</v>
      </c>
      <c r="U379" s="31">
        <f t="shared" si="42"/>
        <v>0.04</v>
      </c>
      <c r="V379" s="30">
        <f t="shared" si="43"/>
        <v>135934.64166650001</v>
      </c>
      <c r="W379" s="30">
        <f t="shared" si="44"/>
        <v>29225.34085954848</v>
      </c>
      <c r="X379" s="30">
        <f t="shared" si="46"/>
        <v>29225.34085954848</v>
      </c>
      <c r="Y379" s="30">
        <f t="shared" si="47"/>
        <v>1169.0136343819393</v>
      </c>
    </row>
    <row r="380" spans="1:25" x14ac:dyDescent="0.15">
      <c r="A380" s="7">
        <v>1376</v>
      </c>
      <c r="B380" s="19">
        <v>45378</v>
      </c>
      <c r="C380" s="7">
        <v>360</v>
      </c>
      <c r="D380" s="19">
        <v>45747</v>
      </c>
      <c r="E380" s="7">
        <v>12</v>
      </c>
      <c r="F380" s="29">
        <v>341814</v>
      </c>
      <c r="G380" s="29">
        <v>316921.42416092585</v>
      </c>
      <c r="H380" s="29">
        <v>352385.56701030931</v>
      </c>
      <c r="I380" s="7">
        <v>97</v>
      </c>
      <c r="J380" s="7" t="s">
        <v>61</v>
      </c>
      <c r="K380" s="7">
        <v>604</v>
      </c>
      <c r="L380" s="7">
        <v>41</v>
      </c>
      <c r="M380" s="7" t="s">
        <v>59</v>
      </c>
      <c r="N380" s="10">
        <v>6.11361200638443E-2</v>
      </c>
      <c r="O380" s="7">
        <v>0.35</v>
      </c>
      <c r="P380" s="7">
        <v>0.39</v>
      </c>
      <c r="R380" s="30">
        <f t="shared" si="45"/>
        <v>1333.0745999999999</v>
      </c>
      <c r="S380" s="7" t="str">
        <f t="shared" si="40"/>
        <v>&gt; 95</v>
      </c>
      <c r="T380" s="7" t="str">
        <f t="shared" si="41"/>
        <v>&lt; 650</v>
      </c>
      <c r="U380" s="31">
        <f t="shared" si="42"/>
        <v>0.11</v>
      </c>
      <c r="V380" s="30">
        <f t="shared" si="43"/>
        <v>116468.62337914023</v>
      </c>
      <c r="W380" s="30">
        <f t="shared" si="44"/>
        <v>33239.763410209212</v>
      </c>
      <c r="X380" s="30">
        <f t="shared" si="46"/>
        <v>33239.763410209212</v>
      </c>
      <c r="Y380" s="30">
        <f t="shared" si="47"/>
        <v>3656.3739751230132</v>
      </c>
    </row>
    <row r="381" spans="1:25" x14ac:dyDescent="0.15">
      <c r="A381" s="7">
        <v>1377</v>
      </c>
      <c r="B381" s="19">
        <v>45341</v>
      </c>
      <c r="C381" s="7">
        <v>360</v>
      </c>
      <c r="D381" s="19">
        <v>45747</v>
      </c>
      <c r="E381" s="7">
        <v>13</v>
      </c>
      <c r="F381" s="29">
        <v>715460</v>
      </c>
      <c r="G381" s="29">
        <v>648541.1857680385</v>
      </c>
      <c r="H381" s="29">
        <v>777673.91304347827</v>
      </c>
      <c r="I381" s="7">
        <v>92</v>
      </c>
      <c r="J381" s="7" t="s">
        <v>72</v>
      </c>
      <c r="K381" s="7">
        <v>713</v>
      </c>
      <c r="L381" s="7">
        <v>1</v>
      </c>
      <c r="M381" s="7" t="s">
        <v>59</v>
      </c>
      <c r="N381" s="10">
        <v>7.7943776918244154E-2</v>
      </c>
      <c r="O381" s="7">
        <v>0.25</v>
      </c>
      <c r="P381" s="7">
        <v>0.2</v>
      </c>
      <c r="R381" s="30">
        <f t="shared" si="45"/>
        <v>1430.92</v>
      </c>
      <c r="S381" s="7" t="str">
        <f t="shared" si="40"/>
        <v>90-95</v>
      </c>
      <c r="T381" s="7" t="str">
        <f t="shared" si="41"/>
        <v>700-750</v>
      </c>
      <c r="U381" s="31">
        <f t="shared" si="42"/>
        <v>0.06</v>
      </c>
      <c r="V381" s="30">
        <f t="shared" si="43"/>
        <v>170242.06126411012</v>
      </c>
      <c r="W381" s="30">
        <f t="shared" si="44"/>
        <v>19945.41896948393</v>
      </c>
      <c r="X381" s="30">
        <f t="shared" si="46"/>
        <v>19945.41896948393</v>
      </c>
      <c r="Y381" s="30">
        <f t="shared" si="47"/>
        <v>1196.7251381690357</v>
      </c>
    </row>
    <row r="382" spans="1:25" x14ac:dyDescent="0.15">
      <c r="A382" s="7">
        <v>1378</v>
      </c>
      <c r="B382" s="19">
        <v>45331</v>
      </c>
      <c r="C382" s="7">
        <v>360</v>
      </c>
      <c r="D382" s="19">
        <v>45747</v>
      </c>
      <c r="E382" s="7">
        <v>13</v>
      </c>
      <c r="F382" s="29">
        <v>597703</v>
      </c>
      <c r="G382" s="29">
        <v>553358.91835208132</v>
      </c>
      <c r="H382" s="29">
        <v>629161.05263157899</v>
      </c>
      <c r="I382" s="7">
        <v>95</v>
      </c>
      <c r="J382" s="7" t="s">
        <v>60</v>
      </c>
      <c r="K382" s="7">
        <v>768</v>
      </c>
      <c r="L382" s="7">
        <v>49</v>
      </c>
      <c r="M382" s="7" t="s">
        <v>59</v>
      </c>
      <c r="N382" s="10">
        <v>5.5463216503509251E-2</v>
      </c>
      <c r="O382" s="7">
        <v>0.3</v>
      </c>
      <c r="P382" s="7">
        <v>0.25</v>
      </c>
      <c r="R382" s="30">
        <f t="shared" si="45"/>
        <v>1494.2574999999999</v>
      </c>
      <c r="S382" s="7" t="str">
        <f t="shared" si="40"/>
        <v>90-95</v>
      </c>
      <c r="T382" s="7" t="str">
        <f t="shared" si="41"/>
        <v>750-800</v>
      </c>
      <c r="U382" s="31">
        <f t="shared" si="42"/>
        <v>0.05</v>
      </c>
      <c r="V382" s="30">
        <f t="shared" si="43"/>
        <v>174308.05928090564</v>
      </c>
      <c r="W382" s="30">
        <f t="shared" si="44"/>
        <v>46239.96953284333</v>
      </c>
      <c r="X382" s="30">
        <f t="shared" si="46"/>
        <v>46239.96953284333</v>
      </c>
      <c r="Y382" s="30">
        <f t="shared" si="47"/>
        <v>2311.9984766421667</v>
      </c>
    </row>
    <row r="383" spans="1:25" x14ac:dyDescent="0.15">
      <c r="A383" s="7">
        <v>1379</v>
      </c>
      <c r="B383" s="19">
        <v>45361</v>
      </c>
      <c r="C383" s="7">
        <v>360</v>
      </c>
      <c r="D383" s="19">
        <v>45747</v>
      </c>
      <c r="E383" s="7">
        <v>12</v>
      </c>
      <c r="F383" s="29">
        <v>794412</v>
      </c>
      <c r="G383" s="29">
        <v>740259.86624550098</v>
      </c>
      <c r="H383" s="29">
        <v>934602.3529411765</v>
      </c>
      <c r="I383" s="7">
        <v>85</v>
      </c>
      <c r="J383" s="7" t="s">
        <v>73</v>
      </c>
      <c r="K383" s="7">
        <v>769</v>
      </c>
      <c r="L383" s="7">
        <v>24</v>
      </c>
      <c r="M383" s="7" t="s">
        <v>59</v>
      </c>
      <c r="N383" s="10">
        <v>5.5042004844331437E-2</v>
      </c>
      <c r="O383" s="7">
        <v>0.12</v>
      </c>
      <c r="P383" s="7">
        <v>0.33</v>
      </c>
      <c r="R383" s="30">
        <f t="shared" si="45"/>
        <v>2621.5596</v>
      </c>
      <c r="S383" s="7" t="str">
        <f t="shared" si="40"/>
        <v>80-85</v>
      </c>
      <c r="T383" s="7" t="str">
        <f t="shared" si="41"/>
        <v>750-800</v>
      </c>
      <c r="U383" s="31">
        <f t="shared" si="42"/>
        <v>0.02</v>
      </c>
      <c r="V383" s="30">
        <f t="shared" si="43"/>
        <v>93272.74314693312</v>
      </c>
      <c r="W383" s="30">
        <f t="shared" si="44"/>
        <v>-17139.140442223987</v>
      </c>
      <c r="X383" s="30">
        <f t="shared" si="46"/>
        <v>0</v>
      </c>
      <c r="Y383" s="30">
        <f t="shared" si="47"/>
        <v>0</v>
      </c>
    </row>
    <row r="384" spans="1:25" x14ac:dyDescent="0.15">
      <c r="A384" s="7">
        <v>1380</v>
      </c>
      <c r="B384" s="19">
        <v>45421</v>
      </c>
      <c r="C384" s="7">
        <v>360</v>
      </c>
      <c r="D384" s="19">
        <v>45747</v>
      </c>
      <c r="E384" s="7">
        <v>10</v>
      </c>
      <c r="F384" s="29">
        <v>321539</v>
      </c>
      <c r="G384" s="29">
        <v>304243.68307484494</v>
      </c>
      <c r="H384" s="29">
        <v>331483.50515463919</v>
      </c>
      <c r="I384" s="7">
        <v>97</v>
      </c>
      <c r="J384" s="7" t="s">
        <v>68</v>
      </c>
      <c r="K384" s="7">
        <v>808</v>
      </c>
      <c r="L384" s="7">
        <v>0</v>
      </c>
      <c r="M384" s="7" t="s">
        <v>59</v>
      </c>
      <c r="N384" s="10">
        <v>5.0175012005076208E-2</v>
      </c>
      <c r="O384" s="7">
        <v>0.35</v>
      </c>
      <c r="P384" s="7">
        <v>0.39</v>
      </c>
      <c r="R384" s="30">
        <f t="shared" si="45"/>
        <v>1254.0021000000002</v>
      </c>
      <c r="S384" s="7" t="str">
        <f t="shared" si="40"/>
        <v>&gt; 95</v>
      </c>
      <c r="T384" s="7" t="str">
        <f t="shared" si="41"/>
        <v>&gt; 800</v>
      </c>
      <c r="U384" s="31">
        <f t="shared" si="42"/>
        <v>0.05</v>
      </c>
      <c r="V384" s="30">
        <f t="shared" si="43"/>
        <v>111809.55353000552</v>
      </c>
      <c r="W384" s="30">
        <f t="shared" si="44"/>
        <v>37694.887847143924</v>
      </c>
      <c r="X384" s="30">
        <f t="shared" si="46"/>
        <v>37694.887847143924</v>
      </c>
      <c r="Y384" s="30">
        <f t="shared" si="47"/>
        <v>1884.7443923571964</v>
      </c>
    </row>
    <row r="385" spans="1:25" x14ac:dyDescent="0.15">
      <c r="A385" s="7">
        <v>1381</v>
      </c>
      <c r="B385" s="19">
        <v>45385</v>
      </c>
      <c r="C385" s="7">
        <v>360</v>
      </c>
      <c r="D385" s="19">
        <v>45747</v>
      </c>
      <c r="E385" s="7">
        <v>11</v>
      </c>
      <c r="F385" s="29">
        <v>134251</v>
      </c>
      <c r="G385" s="29">
        <v>125147.0447544426</v>
      </c>
      <c r="H385" s="29">
        <v>142820.21276595746</v>
      </c>
      <c r="I385" s="7">
        <v>94</v>
      </c>
      <c r="J385" s="7" t="s">
        <v>60</v>
      </c>
      <c r="K385" s="7">
        <v>699</v>
      </c>
      <c r="L385" s="7">
        <v>25</v>
      </c>
      <c r="M385" s="7" t="s">
        <v>59</v>
      </c>
      <c r="N385" s="10">
        <v>6.2617451690626921E-2</v>
      </c>
      <c r="O385" s="7">
        <v>0.25</v>
      </c>
      <c r="P385" s="7">
        <v>0.24</v>
      </c>
      <c r="R385" s="30">
        <f t="shared" si="45"/>
        <v>322.20239999999995</v>
      </c>
      <c r="S385" s="7" t="str">
        <f t="shared" si="40"/>
        <v>90-95</v>
      </c>
      <c r="T385" s="7" t="str">
        <f t="shared" si="41"/>
        <v>650-700</v>
      </c>
      <c r="U385" s="31">
        <f t="shared" si="42"/>
        <v>7.0000000000000007E-2</v>
      </c>
      <c r="V385" s="30">
        <f t="shared" si="43"/>
        <v>32851.099248041181</v>
      </c>
      <c r="W385" s="30">
        <f t="shared" si="44"/>
        <v>10007.216141100886</v>
      </c>
      <c r="X385" s="30">
        <f t="shared" si="46"/>
        <v>10007.216141100886</v>
      </c>
      <c r="Y385" s="30">
        <f t="shared" si="47"/>
        <v>700.50512987706202</v>
      </c>
    </row>
    <row r="386" spans="1:25" x14ac:dyDescent="0.15">
      <c r="A386" s="7">
        <v>1382</v>
      </c>
      <c r="B386" s="19">
        <v>45348</v>
      </c>
      <c r="C386" s="7">
        <v>360</v>
      </c>
      <c r="D386" s="19">
        <v>45747</v>
      </c>
      <c r="E386" s="7">
        <v>13</v>
      </c>
      <c r="F386" s="29">
        <v>105546</v>
      </c>
      <c r="G386" s="29">
        <v>96300.71888438538</v>
      </c>
      <c r="H386" s="29">
        <v>121317.24137931035</v>
      </c>
      <c r="I386" s="7">
        <v>87</v>
      </c>
      <c r="J386" s="7" t="s">
        <v>64</v>
      </c>
      <c r="K386" s="7">
        <v>613</v>
      </c>
      <c r="L386" s="7">
        <v>6</v>
      </c>
      <c r="M386" s="7" t="s">
        <v>59</v>
      </c>
      <c r="N386" s="10">
        <v>7.1262986576953277E-2</v>
      </c>
      <c r="O386" s="7">
        <v>0.12</v>
      </c>
      <c r="P386" s="7">
        <v>0.38</v>
      </c>
      <c r="R386" s="30">
        <f t="shared" si="45"/>
        <v>401.07480000000004</v>
      </c>
      <c r="S386" s="7" t="str">
        <f t="shared" si="40"/>
        <v>85-90</v>
      </c>
      <c r="T386" s="7" t="str">
        <f t="shared" si="41"/>
        <v>&lt; 650</v>
      </c>
      <c r="U386" s="31">
        <f t="shared" si="42"/>
        <v>0.05</v>
      </c>
      <c r="V386" s="30">
        <f t="shared" si="43"/>
        <v>12133.890579432558</v>
      </c>
      <c r="W386" s="30">
        <f t="shared" si="44"/>
        <v>-2003.9003438091459</v>
      </c>
      <c r="X386" s="30">
        <f t="shared" si="46"/>
        <v>0</v>
      </c>
      <c r="Y386" s="30">
        <f t="shared" si="47"/>
        <v>0</v>
      </c>
    </row>
    <row r="387" spans="1:25" x14ac:dyDescent="0.15">
      <c r="A387" s="7">
        <v>1383</v>
      </c>
      <c r="B387" s="19">
        <v>45423</v>
      </c>
      <c r="C387" s="7">
        <v>360</v>
      </c>
      <c r="D387" s="19">
        <v>45747</v>
      </c>
      <c r="E387" s="7">
        <v>10</v>
      </c>
      <c r="F387" s="29">
        <v>796802</v>
      </c>
      <c r="G387" s="29">
        <v>740869.23993281124</v>
      </c>
      <c r="H387" s="29">
        <v>885335.5555555555</v>
      </c>
      <c r="I387" s="7">
        <v>90</v>
      </c>
      <c r="J387" s="7" t="s">
        <v>63</v>
      </c>
      <c r="K387" s="7">
        <v>799</v>
      </c>
      <c r="L387" s="7">
        <v>35</v>
      </c>
      <c r="M387" s="7" t="s">
        <v>59</v>
      </c>
      <c r="N387" s="10">
        <v>7.5401465912522614E-2</v>
      </c>
      <c r="O387" s="7">
        <v>0.25</v>
      </c>
      <c r="P387" s="7">
        <v>0.31</v>
      </c>
      <c r="R387" s="30">
        <f t="shared" si="45"/>
        <v>2470.0861999999997</v>
      </c>
      <c r="S387" s="7" t="str">
        <f t="shared" si="40"/>
        <v>85-90</v>
      </c>
      <c r="T387" s="7" t="str">
        <f t="shared" si="41"/>
        <v>750-800</v>
      </c>
      <c r="U387" s="31">
        <f t="shared" si="42"/>
        <v>0.02</v>
      </c>
      <c r="V387" s="30">
        <f t="shared" si="43"/>
        <v>194478.17548236295</v>
      </c>
      <c r="W387" s="30">
        <f t="shared" si="44"/>
        <v>25377.47970722965</v>
      </c>
      <c r="X387" s="30">
        <f t="shared" si="46"/>
        <v>25377.47970722965</v>
      </c>
      <c r="Y387" s="30">
        <f t="shared" si="47"/>
        <v>507.54959414459302</v>
      </c>
    </row>
    <row r="388" spans="1:25" x14ac:dyDescent="0.15">
      <c r="A388" s="7">
        <v>1384</v>
      </c>
      <c r="B388" s="19">
        <v>45355</v>
      </c>
      <c r="C388" s="7">
        <v>360</v>
      </c>
      <c r="D388" s="19">
        <v>45747</v>
      </c>
      <c r="E388" s="7">
        <v>12</v>
      </c>
      <c r="F388" s="29">
        <v>404980</v>
      </c>
      <c r="G388" s="29">
        <v>378302.103979006</v>
      </c>
      <c r="H388" s="29">
        <v>465494.25287356321</v>
      </c>
      <c r="I388" s="7">
        <v>87</v>
      </c>
      <c r="J388" s="7" t="s">
        <v>66</v>
      </c>
      <c r="K388" s="7">
        <v>692</v>
      </c>
      <c r="L388" s="7">
        <v>31</v>
      </c>
      <c r="M388" s="7" t="s">
        <v>59</v>
      </c>
      <c r="N388" s="10">
        <v>5.1974766310928795E-2</v>
      </c>
      <c r="O388" s="7">
        <v>0.12</v>
      </c>
      <c r="P388" s="7">
        <v>0.31</v>
      </c>
      <c r="R388" s="30">
        <f t="shared" si="45"/>
        <v>1255.4380000000001</v>
      </c>
      <c r="S388" s="7" t="str">
        <f t="shared" si="40"/>
        <v>85-90</v>
      </c>
      <c r="T388" s="7" t="str">
        <f t="shared" si="41"/>
        <v>650-700</v>
      </c>
      <c r="U388" s="31">
        <f t="shared" si="42"/>
        <v>0.04</v>
      </c>
      <c r="V388" s="30">
        <f t="shared" si="43"/>
        <v>47666.065101354761</v>
      </c>
      <c r="W388" s="30">
        <f t="shared" si="44"/>
        <v>1547.0942354276194</v>
      </c>
      <c r="X388" s="30">
        <f t="shared" si="46"/>
        <v>1547.0942354276194</v>
      </c>
      <c r="Y388" s="30">
        <f t="shared" si="47"/>
        <v>61.88376941710478</v>
      </c>
    </row>
    <row r="389" spans="1:25" x14ac:dyDescent="0.15">
      <c r="A389" s="7">
        <v>1385</v>
      </c>
      <c r="B389" s="19">
        <v>45459</v>
      </c>
      <c r="C389" s="7">
        <v>360</v>
      </c>
      <c r="D389" s="19">
        <v>45747</v>
      </c>
      <c r="E389" s="7">
        <v>9</v>
      </c>
      <c r="F389" s="29">
        <v>727355</v>
      </c>
      <c r="G389" s="29">
        <v>684472.76603745518</v>
      </c>
      <c r="H389" s="29">
        <v>887018.29268292687</v>
      </c>
      <c r="I389" s="7">
        <v>82</v>
      </c>
      <c r="J389" s="7" t="s">
        <v>62</v>
      </c>
      <c r="K389" s="7">
        <v>753</v>
      </c>
      <c r="L389" s="7">
        <v>17</v>
      </c>
      <c r="M389" s="7" t="s">
        <v>59</v>
      </c>
      <c r="N389" s="10">
        <v>6.847182182578726E-2</v>
      </c>
      <c r="O389" s="7">
        <v>0.12</v>
      </c>
      <c r="P389" s="7">
        <v>0.25</v>
      </c>
      <c r="R389" s="30">
        <f t="shared" si="45"/>
        <v>1818.3875</v>
      </c>
      <c r="S389" s="7" t="str">
        <f t="shared" ref="S389:S452" si="48">_xlfn.IFS(I389&lt;80,"&lt; 80",AND(I389&gt;=80,I389&lt;=85),"80-85",AND(I389&gt;85,I389&lt;=90),"85-90",AND(I389&gt;90,I389&lt;=95),"90-95",I389&gt;95,"&gt; 95")</f>
        <v>80-85</v>
      </c>
      <c r="T389" s="7" t="str">
        <f t="shared" ref="T389:T452" si="49">_xlfn.IFS(K389&lt;650,"&lt; 650",AND(K389&gt;=650,K389&lt;=700),"650-700",AND(K389&gt;700,K389&lt;=750),"700-750",AND(K389&gt;750,K389&lt;=800),"750-800",K389&gt;800,"&gt; 800")</f>
        <v>750-800</v>
      </c>
      <c r="U389" s="31">
        <f t="shared" ref="U389:U452" si="50">INDEX(LTV_FICO_DefaultRates,MATCH(S389,LTV_DefaultTable,0),MATCH(T389,FICO_DefaultTabe,0))</f>
        <v>0.02</v>
      </c>
      <c r="V389" s="30">
        <f t="shared" ref="V389:V452" si="51">((G389*(1+Expense_Loading))*O389)</f>
        <v>86243.568520719346</v>
      </c>
      <c r="W389" s="30">
        <f t="shared" ref="W389:W452" si="52">(G389*(1+Expense_Loading))-(H389*(1+HPI_Movement))</f>
        <v>-35269.144441159908</v>
      </c>
      <c r="X389" s="30">
        <f t="shared" si="46"/>
        <v>0</v>
      </c>
      <c r="Y389" s="30">
        <f t="shared" si="47"/>
        <v>0</v>
      </c>
    </row>
    <row r="390" spans="1:25" x14ac:dyDescent="0.15">
      <c r="A390" s="7">
        <v>1386</v>
      </c>
      <c r="B390" s="19">
        <v>45408</v>
      </c>
      <c r="C390" s="7">
        <v>360</v>
      </c>
      <c r="D390" s="19">
        <v>45747</v>
      </c>
      <c r="E390" s="7">
        <v>11</v>
      </c>
      <c r="F390" s="29">
        <v>242929</v>
      </c>
      <c r="G390" s="29">
        <v>226918.57806782963</v>
      </c>
      <c r="H390" s="29">
        <v>269921.11111111112</v>
      </c>
      <c r="I390" s="7">
        <v>90</v>
      </c>
      <c r="J390" s="7" t="s">
        <v>62</v>
      </c>
      <c r="K390" s="7">
        <v>716</v>
      </c>
      <c r="L390" s="7">
        <v>16</v>
      </c>
      <c r="M390" s="7" t="s">
        <v>59</v>
      </c>
      <c r="N390" s="10">
        <v>5.9936655376910418E-2</v>
      </c>
      <c r="O390" s="7">
        <v>0.25</v>
      </c>
      <c r="P390" s="7">
        <v>0.36</v>
      </c>
      <c r="R390" s="30">
        <f t="shared" ref="R390:R453" si="53">P390*F390/100</f>
        <v>874.5444</v>
      </c>
      <c r="S390" s="7" t="str">
        <f t="shared" si="48"/>
        <v>85-90</v>
      </c>
      <c r="T390" s="7" t="str">
        <f t="shared" si="49"/>
        <v>700-750</v>
      </c>
      <c r="U390" s="31">
        <f t="shared" si="50"/>
        <v>0.03</v>
      </c>
      <c r="V390" s="30">
        <f t="shared" si="51"/>
        <v>59566.126742805282</v>
      </c>
      <c r="W390" s="30">
        <f t="shared" si="52"/>
        <v>8831.5625267766882</v>
      </c>
      <c r="X390" s="30">
        <f t="shared" ref="X390:X453" si="54">MAX(MIN(V390,W390),0)</f>
        <v>8831.5625267766882</v>
      </c>
      <c r="Y390" s="30">
        <f t="shared" ref="Y390:Y453" si="55">X390*U390</f>
        <v>264.94687580330066</v>
      </c>
    </row>
    <row r="391" spans="1:25" x14ac:dyDescent="0.15">
      <c r="A391" s="7">
        <v>1387</v>
      </c>
      <c r="B391" s="19">
        <v>45430</v>
      </c>
      <c r="C391" s="7">
        <v>360</v>
      </c>
      <c r="D391" s="19">
        <v>45747</v>
      </c>
      <c r="E391" s="7">
        <v>10</v>
      </c>
      <c r="F391" s="29">
        <v>560240</v>
      </c>
      <c r="G391" s="29">
        <v>524855.75645767234</v>
      </c>
      <c r="H391" s="29">
        <v>602408.60215053766</v>
      </c>
      <c r="I391" s="7">
        <v>93</v>
      </c>
      <c r="J391" s="7" t="s">
        <v>62</v>
      </c>
      <c r="K391" s="7">
        <v>671</v>
      </c>
      <c r="L391" s="7">
        <v>31</v>
      </c>
      <c r="M391" s="7" t="s">
        <v>59</v>
      </c>
      <c r="N391" s="10">
        <v>6.4927425150256804E-2</v>
      </c>
      <c r="O391" s="7">
        <v>0.25</v>
      </c>
      <c r="P391" s="7">
        <v>0.28000000000000003</v>
      </c>
      <c r="R391" s="30">
        <f t="shared" si="53"/>
        <v>1568.672</v>
      </c>
      <c r="S391" s="7" t="str">
        <f t="shared" si="48"/>
        <v>90-95</v>
      </c>
      <c r="T391" s="7" t="str">
        <f t="shared" si="49"/>
        <v>650-700</v>
      </c>
      <c r="U391" s="31">
        <f t="shared" si="50"/>
        <v>7.0000000000000007E-2</v>
      </c>
      <c r="V391" s="30">
        <f t="shared" si="51"/>
        <v>137774.63607013901</v>
      </c>
      <c r="W391" s="30">
        <f t="shared" si="52"/>
        <v>39051.232452599041</v>
      </c>
      <c r="X391" s="30">
        <f t="shared" si="54"/>
        <v>39051.232452599041</v>
      </c>
      <c r="Y391" s="30">
        <f t="shared" si="55"/>
        <v>2733.5862716819329</v>
      </c>
    </row>
    <row r="392" spans="1:25" x14ac:dyDescent="0.15">
      <c r="A392" s="7">
        <v>1388</v>
      </c>
      <c r="B392" s="19">
        <v>45450</v>
      </c>
      <c r="C392" s="7">
        <v>360</v>
      </c>
      <c r="D392" s="19">
        <v>45747</v>
      </c>
      <c r="E392" s="7">
        <v>9</v>
      </c>
      <c r="F392" s="29">
        <v>118770</v>
      </c>
      <c r="G392" s="29">
        <v>111777.45821241432</v>
      </c>
      <c r="H392" s="29">
        <v>148462.5</v>
      </c>
      <c r="I392" s="7">
        <v>80</v>
      </c>
      <c r="J392" s="7" t="s">
        <v>71</v>
      </c>
      <c r="K392" s="7">
        <v>643</v>
      </c>
      <c r="L392" s="7">
        <v>41</v>
      </c>
      <c r="M392" s="7" t="s">
        <v>59</v>
      </c>
      <c r="N392" s="10">
        <v>6.8335677628752492E-2</v>
      </c>
      <c r="O392" s="7">
        <v>0.12</v>
      </c>
      <c r="P392" s="7">
        <v>0.26</v>
      </c>
      <c r="R392" s="30">
        <f t="shared" si="53"/>
        <v>308.80200000000002</v>
      </c>
      <c r="S392" s="7" t="str">
        <f t="shared" si="48"/>
        <v>80-85</v>
      </c>
      <c r="T392" s="7" t="str">
        <f t="shared" si="49"/>
        <v>&lt; 650</v>
      </c>
      <c r="U392" s="31">
        <f t="shared" si="50"/>
        <v>0.04</v>
      </c>
      <c r="V392" s="30">
        <f t="shared" si="51"/>
        <v>14083.959734764205</v>
      </c>
      <c r="W392" s="30">
        <f t="shared" si="52"/>
        <v>-8826.7938769649627</v>
      </c>
      <c r="X392" s="30">
        <f t="shared" si="54"/>
        <v>0</v>
      </c>
      <c r="Y392" s="30">
        <f t="shared" si="55"/>
        <v>0</v>
      </c>
    </row>
    <row r="393" spans="1:25" x14ac:dyDescent="0.15">
      <c r="A393" s="7">
        <v>1389</v>
      </c>
      <c r="B393" s="19">
        <v>45378</v>
      </c>
      <c r="C393" s="7">
        <v>360</v>
      </c>
      <c r="D393" s="19">
        <v>45747</v>
      </c>
      <c r="E393" s="7">
        <v>12</v>
      </c>
      <c r="F393" s="29">
        <v>229173</v>
      </c>
      <c r="G393" s="29">
        <v>209161.17045158416</v>
      </c>
      <c r="H393" s="29">
        <v>279479.26829268294</v>
      </c>
      <c r="I393" s="7">
        <v>82</v>
      </c>
      <c r="J393" s="7" t="s">
        <v>67</v>
      </c>
      <c r="K393" s="7">
        <v>643</v>
      </c>
      <c r="L393" s="7">
        <v>3</v>
      </c>
      <c r="M393" s="7" t="s">
        <v>59</v>
      </c>
      <c r="N393" s="10">
        <v>7.912626635962948E-2</v>
      </c>
      <c r="O393" s="7">
        <v>0.12</v>
      </c>
      <c r="P393" s="7">
        <v>0.27</v>
      </c>
      <c r="R393" s="30">
        <f t="shared" si="53"/>
        <v>618.76710000000003</v>
      </c>
      <c r="S393" s="7" t="str">
        <f t="shared" si="48"/>
        <v>80-85</v>
      </c>
      <c r="T393" s="7" t="str">
        <f t="shared" si="49"/>
        <v>&lt; 650</v>
      </c>
      <c r="U393" s="31">
        <f t="shared" si="50"/>
        <v>0.04</v>
      </c>
      <c r="V393" s="30">
        <f t="shared" si="51"/>
        <v>26354.307476899605</v>
      </c>
      <c r="W393" s="30">
        <f t="shared" si="52"/>
        <v>-17938.149074617104</v>
      </c>
      <c r="X393" s="30">
        <f t="shared" si="54"/>
        <v>0</v>
      </c>
      <c r="Y393" s="30">
        <f t="shared" si="55"/>
        <v>0</v>
      </c>
    </row>
    <row r="394" spans="1:25" x14ac:dyDescent="0.15">
      <c r="A394" s="7">
        <v>1390</v>
      </c>
      <c r="B394" s="19">
        <v>45333</v>
      </c>
      <c r="C394" s="7">
        <v>360</v>
      </c>
      <c r="D394" s="19">
        <v>45747</v>
      </c>
      <c r="E394" s="7">
        <v>13</v>
      </c>
      <c r="F394" s="29">
        <v>415287</v>
      </c>
      <c r="G394" s="29">
        <v>376595.5893538926</v>
      </c>
      <c r="H394" s="29">
        <v>441794.68085106387</v>
      </c>
      <c r="I394" s="7">
        <v>94</v>
      </c>
      <c r="J394" s="7" t="s">
        <v>72</v>
      </c>
      <c r="K394" s="7">
        <v>686</v>
      </c>
      <c r="L394" s="7">
        <v>40</v>
      </c>
      <c r="M394" s="7" t="s">
        <v>59</v>
      </c>
      <c r="N394" s="10">
        <v>7.7538168866746096E-2</v>
      </c>
      <c r="O394" s="7">
        <v>0.25</v>
      </c>
      <c r="P394" s="7">
        <v>0.27</v>
      </c>
      <c r="R394" s="30">
        <f t="shared" si="53"/>
        <v>1121.2749000000001</v>
      </c>
      <c r="S394" s="7" t="str">
        <f t="shared" si="48"/>
        <v>90-95</v>
      </c>
      <c r="T394" s="7" t="str">
        <f t="shared" si="49"/>
        <v>650-700</v>
      </c>
      <c r="U394" s="31">
        <f t="shared" si="50"/>
        <v>7.0000000000000007E-2</v>
      </c>
      <c r="V394" s="30">
        <f t="shared" si="51"/>
        <v>98856.34220539681</v>
      </c>
      <c r="W394" s="30">
        <f t="shared" si="52"/>
        <v>19899.89009818295</v>
      </c>
      <c r="X394" s="30">
        <f t="shared" si="54"/>
        <v>19899.89009818295</v>
      </c>
      <c r="Y394" s="30">
        <f t="shared" si="55"/>
        <v>1392.9923068728067</v>
      </c>
    </row>
    <row r="395" spans="1:25" x14ac:dyDescent="0.15">
      <c r="A395" s="7">
        <v>1391</v>
      </c>
      <c r="B395" s="19">
        <v>45334</v>
      </c>
      <c r="C395" s="7">
        <v>360</v>
      </c>
      <c r="D395" s="19">
        <v>45747</v>
      </c>
      <c r="E395" s="7">
        <v>13</v>
      </c>
      <c r="F395" s="29">
        <v>168524</v>
      </c>
      <c r="G395" s="29">
        <v>155926.72874610149</v>
      </c>
      <c r="H395" s="29">
        <v>185191.20879120877</v>
      </c>
      <c r="I395" s="7">
        <v>91</v>
      </c>
      <c r="J395" s="7" t="s">
        <v>73</v>
      </c>
      <c r="K395" s="7">
        <v>841</v>
      </c>
      <c r="L395" s="7">
        <v>13</v>
      </c>
      <c r="M395" s="7" t="s">
        <v>59</v>
      </c>
      <c r="N395" s="10">
        <v>5.6146746397063775E-2</v>
      </c>
      <c r="O395" s="7">
        <v>0.25</v>
      </c>
      <c r="P395" s="7">
        <v>0.24</v>
      </c>
      <c r="R395" s="30">
        <f t="shared" si="53"/>
        <v>404.45760000000001</v>
      </c>
      <c r="S395" s="7" t="str">
        <f t="shared" si="48"/>
        <v>90-95</v>
      </c>
      <c r="T395" s="7" t="str">
        <f t="shared" si="49"/>
        <v>&gt; 800</v>
      </c>
      <c r="U395" s="31">
        <f t="shared" si="50"/>
        <v>0.04</v>
      </c>
      <c r="V395" s="30">
        <f t="shared" si="51"/>
        <v>40930.766295851645</v>
      </c>
      <c r="W395" s="30">
        <f t="shared" si="52"/>
        <v>6310.5377108791145</v>
      </c>
      <c r="X395" s="30">
        <f t="shared" si="54"/>
        <v>6310.5377108791145</v>
      </c>
      <c r="Y395" s="30">
        <f t="shared" si="55"/>
        <v>252.42150843516458</v>
      </c>
    </row>
    <row r="396" spans="1:25" x14ac:dyDescent="0.15">
      <c r="A396" s="7">
        <v>1392</v>
      </c>
      <c r="B396" s="19">
        <v>45407</v>
      </c>
      <c r="C396" s="7">
        <v>360</v>
      </c>
      <c r="D396" s="19">
        <v>45747</v>
      </c>
      <c r="E396" s="7">
        <v>11</v>
      </c>
      <c r="F396" s="29">
        <v>256966</v>
      </c>
      <c r="G396" s="29">
        <v>240132.08562330945</v>
      </c>
      <c r="H396" s="29">
        <v>309597.59036144579</v>
      </c>
      <c r="I396" s="7">
        <v>83</v>
      </c>
      <c r="J396" s="7" t="s">
        <v>60</v>
      </c>
      <c r="K396" s="7">
        <v>804</v>
      </c>
      <c r="L396" s="7">
        <v>30</v>
      </c>
      <c r="M396" s="7" t="s">
        <v>59</v>
      </c>
      <c r="N396" s="10">
        <v>5.9376527533719435E-2</v>
      </c>
      <c r="O396" s="7">
        <v>0.12</v>
      </c>
      <c r="P396" s="7">
        <v>0.43</v>
      </c>
      <c r="R396" s="30">
        <f t="shared" si="53"/>
        <v>1104.9538</v>
      </c>
      <c r="S396" s="7" t="str">
        <f t="shared" si="48"/>
        <v>80-85</v>
      </c>
      <c r="T396" s="7" t="str">
        <f t="shared" si="49"/>
        <v>&gt; 800</v>
      </c>
      <c r="U396" s="31">
        <f t="shared" si="50"/>
        <v>0.01</v>
      </c>
      <c r="V396" s="30">
        <f t="shared" si="51"/>
        <v>30256.642788536992</v>
      </c>
      <c r="W396" s="30">
        <f t="shared" si="52"/>
        <v>-11019.261902753962</v>
      </c>
      <c r="X396" s="30">
        <f t="shared" si="54"/>
        <v>0</v>
      </c>
      <c r="Y396" s="30">
        <f t="shared" si="55"/>
        <v>0</v>
      </c>
    </row>
    <row r="397" spans="1:25" x14ac:dyDescent="0.15">
      <c r="A397" s="7">
        <v>1393</v>
      </c>
      <c r="B397" s="19">
        <v>45473</v>
      </c>
      <c r="C397" s="7">
        <v>360</v>
      </c>
      <c r="D397" s="19">
        <v>45747</v>
      </c>
      <c r="E397" s="7">
        <v>9</v>
      </c>
      <c r="F397" s="29">
        <v>290830</v>
      </c>
      <c r="G397" s="29">
        <v>273172.71914844814</v>
      </c>
      <c r="H397" s="29">
        <v>306136.84210526315</v>
      </c>
      <c r="I397" s="7">
        <v>95</v>
      </c>
      <c r="J397" s="7" t="s">
        <v>71</v>
      </c>
      <c r="K397" s="7">
        <v>661</v>
      </c>
      <c r="L397" s="7">
        <v>50</v>
      </c>
      <c r="M397" s="7" t="s">
        <v>59</v>
      </c>
      <c r="N397" s="10">
        <v>7.1379591479482057E-2</v>
      </c>
      <c r="O397" s="7">
        <v>0.3</v>
      </c>
      <c r="P397" s="7">
        <v>0.27</v>
      </c>
      <c r="R397" s="30">
        <f t="shared" si="53"/>
        <v>785.2410000000001</v>
      </c>
      <c r="S397" s="7" t="str">
        <f t="shared" si="48"/>
        <v>90-95</v>
      </c>
      <c r="T397" s="7" t="str">
        <f t="shared" si="49"/>
        <v>650-700</v>
      </c>
      <c r="U397" s="31">
        <f t="shared" si="50"/>
        <v>7.0000000000000007E-2</v>
      </c>
      <c r="V397" s="30">
        <f t="shared" si="51"/>
        <v>86049.406531761168</v>
      </c>
      <c r="W397" s="30">
        <f t="shared" si="52"/>
        <v>26615.039316396898</v>
      </c>
      <c r="X397" s="30">
        <f t="shared" si="54"/>
        <v>26615.039316396898</v>
      </c>
      <c r="Y397" s="30">
        <f t="shared" si="55"/>
        <v>1863.0527521477832</v>
      </c>
    </row>
    <row r="398" spans="1:25" x14ac:dyDescent="0.15">
      <c r="A398" s="7">
        <v>1394</v>
      </c>
      <c r="B398" s="19">
        <v>45401</v>
      </c>
      <c r="C398" s="7">
        <v>360</v>
      </c>
      <c r="D398" s="19">
        <v>45747</v>
      </c>
      <c r="E398" s="7">
        <v>11</v>
      </c>
      <c r="F398" s="29">
        <v>188860</v>
      </c>
      <c r="G398" s="29">
        <v>175945.82970488456</v>
      </c>
      <c r="H398" s="29">
        <v>233160.49382716048</v>
      </c>
      <c r="I398" s="7">
        <v>81</v>
      </c>
      <c r="J398" s="7" t="s">
        <v>74</v>
      </c>
      <c r="K398" s="7">
        <v>678</v>
      </c>
      <c r="L398" s="7">
        <v>17</v>
      </c>
      <c r="M398" s="7" t="s">
        <v>59</v>
      </c>
      <c r="N398" s="10">
        <v>6.3407678487334279E-2</v>
      </c>
      <c r="O398" s="7">
        <v>0.12</v>
      </c>
      <c r="P398" s="7">
        <v>0.21</v>
      </c>
      <c r="R398" s="30">
        <f t="shared" si="53"/>
        <v>396.60599999999999</v>
      </c>
      <c r="S398" s="7" t="str">
        <f t="shared" si="48"/>
        <v>80-85</v>
      </c>
      <c r="T398" s="7" t="str">
        <f t="shared" si="49"/>
        <v>650-700</v>
      </c>
      <c r="U398" s="31">
        <f t="shared" si="50"/>
        <v>0.03</v>
      </c>
      <c r="V398" s="30">
        <f t="shared" si="51"/>
        <v>22169.174542815454</v>
      </c>
      <c r="W398" s="30">
        <f t="shared" si="52"/>
        <v>-13443.298562957614</v>
      </c>
      <c r="X398" s="30">
        <f t="shared" si="54"/>
        <v>0</v>
      </c>
      <c r="Y398" s="30">
        <f t="shared" si="55"/>
        <v>0</v>
      </c>
    </row>
    <row r="399" spans="1:25" x14ac:dyDescent="0.15">
      <c r="A399" s="7">
        <v>1395</v>
      </c>
      <c r="B399" s="19">
        <v>45326</v>
      </c>
      <c r="C399" s="7">
        <v>360</v>
      </c>
      <c r="D399" s="19">
        <v>45747</v>
      </c>
      <c r="E399" s="7">
        <v>13</v>
      </c>
      <c r="F399" s="29">
        <v>452794</v>
      </c>
      <c r="G399" s="29">
        <v>409886.96953289158</v>
      </c>
      <c r="H399" s="29">
        <v>471660.41666666669</v>
      </c>
      <c r="I399" s="7">
        <v>96</v>
      </c>
      <c r="J399" s="7" t="s">
        <v>62</v>
      </c>
      <c r="K399" s="7">
        <v>613</v>
      </c>
      <c r="L399" s="7">
        <v>18</v>
      </c>
      <c r="M399" s="7" t="s">
        <v>59</v>
      </c>
      <c r="N399" s="10">
        <v>7.930532883569244E-2</v>
      </c>
      <c r="O399" s="7">
        <v>0.3</v>
      </c>
      <c r="P399" s="7">
        <v>0.32</v>
      </c>
      <c r="R399" s="30">
        <f t="shared" si="53"/>
        <v>1448.9408000000001</v>
      </c>
      <c r="S399" s="7" t="str">
        <f t="shared" si="48"/>
        <v>&gt; 95</v>
      </c>
      <c r="T399" s="7" t="str">
        <f t="shared" si="49"/>
        <v>&lt; 650</v>
      </c>
      <c r="U399" s="31">
        <f t="shared" si="50"/>
        <v>0.11</v>
      </c>
      <c r="V399" s="30">
        <f t="shared" si="51"/>
        <v>129114.39540286086</v>
      </c>
      <c r="W399" s="30">
        <f t="shared" si="52"/>
        <v>29469.963842869503</v>
      </c>
      <c r="X399" s="30">
        <f t="shared" si="54"/>
        <v>29469.963842869503</v>
      </c>
      <c r="Y399" s="30">
        <f t="shared" si="55"/>
        <v>3241.6960227156455</v>
      </c>
    </row>
    <row r="400" spans="1:25" x14ac:dyDescent="0.15">
      <c r="A400" s="7">
        <v>1396</v>
      </c>
      <c r="B400" s="19">
        <v>45404</v>
      </c>
      <c r="C400" s="7">
        <v>360</v>
      </c>
      <c r="D400" s="19">
        <v>45747</v>
      </c>
      <c r="E400" s="7">
        <v>11</v>
      </c>
      <c r="F400" s="29">
        <v>770044</v>
      </c>
      <c r="G400" s="29">
        <v>723580.86464937846</v>
      </c>
      <c r="H400" s="29">
        <v>875050</v>
      </c>
      <c r="I400" s="7">
        <v>88</v>
      </c>
      <c r="J400" s="7" t="s">
        <v>64</v>
      </c>
      <c r="K400" s="7">
        <v>665</v>
      </c>
      <c r="L400" s="7">
        <v>8</v>
      </c>
      <c r="M400" s="7" t="s">
        <v>59</v>
      </c>
      <c r="N400" s="10">
        <v>5.1905924564067014E-2</v>
      </c>
      <c r="O400" s="7">
        <v>0.12</v>
      </c>
      <c r="P400" s="7">
        <v>0.23</v>
      </c>
      <c r="R400" s="30">
        <f t="shared" si="53"/>
        <v>1771.1012000000001</v>
      </c>
      <c r="S400" s="7" t="str">
        <f t="shared" si="48"/>
        <v>85-90</v>
      </c>
      <c r="T400" s="7" t="str">
        <f t="shared" si="49"/>
        <v>650-700</v>
      </c>
      <c r="U400" s="31">
        <f t="shared" si="50"/>
        <v>0.04</v>
      </c>
      <c r="V400" s="30">
        <f t="shared" si="51"/>
        <v>91171.18894582169</v>
      </c>
      <c r="W400" s="30">
        <f t="shared" si="52"/>
        <v>15967.407881847466</v>
      </c>
      <c r="X400" s="30">
        <f t="shared" si="54"/>
        <v>15967.407881847466</v>
      </c>
      <c r="Y400" s="30">
        <f t="shared" si="55"/>
        <v>638.69631527389868</v>
      </c>
    </row>
    <row r="401" spans="1:25" x14ac:dyDescent="0.15">
      <c r="A401" s="7">
        <v>1397</v>
      </c>
      <c r="B401" s="19">
        <v>45303</v>
      </c>
      <c r="C401" s="7">
        <v>360</v>
      </c>
      <c r="D401" s="19">
        <v>45747</v>
      </c>
      <c r="E401" s="7">
        <v>14</v>
      </c>
      <c r="F401" s="29">
        <v>255832</v>
      </c>
      <c r="G401" s="29">
        <v>233006.06946825687</v>
      </c>
      <c r="H401" s="29">
        <v>278078.26086956519</v>
      </c>
      <c r="I401" s="7">
        <v>92</v>
      </c>
      <c r="J401" s="7" t="s">
        <v>66</v>
      </c>
      <c r="K401" s="7">
        <v>652</v>
      </c>
      <c r="L401" s="7">
        <v>19</v>
      </c>
      <c r="M401" s="7" t="s">
        <v>59</v>
      </c>
      <c r="N401" s="10">
        <v>6.5794555819012987E-2</v>
      </c>
      <c r="O401" s="7">
        <v>0.25</v>
      </c>
      <c r="P401" s="7">
        <v>0.34</v>
      </c>
      <c r="R401" s="30">
        <f t="shared" si="53"/>
        <v>869.8288</v>
      </c>
      <c r="S401" s="7" t="str">
        <f t="shared" si="48"/>
        <v>90-95</v>
      </c>
      <c r="T401" s="7" t="str">
        <f t="shared" si="49"/>
        <v>650-700</v>
      </c>
      <c r="U401" s="31">
        <f t="shared" si="50"/>
        <v>7.0000000000000007E-2</v>
      </c>
      <c r="V401" s="30">
        <f t="shared" si="51"/>
        <v>61164.093235417429</v>
      </c>
      <c r="W401" s="30">
        <f t="shared" si="52"/>
        <v>8289.8512025393138</v>
      </c>
      <c r="X401" s="30">
        <f t="shared" si="54"/>
        <v>8289.8512025393138</v>
      </c>
      <c r="Y401" s="30">
        <f t="shared" si="55"/>
        <v>580.28958417775198</v>
      </c>
    </row>
    <row r="402" spans="1:25" x14ac:dyDescent="0.15">
      <c r="A402" s="7">
        <v>1398</v>
      </c>
      <c r="B402" s="19">
        <v>45350</v>
      </c>
      <c r="C402" s="7">
        <v>360</v>
      </c>
      <c r="D402" s="19">
        <v>45747</v>
      </c>
      <c r="E402" s="7">
        <v>13</v>
      </c>
      <c r="F402" s="29">
        <v>513591</v>
      </c>
      <c r="G402" s="29">
        <v>475472.58467870118</v>
      </c>
      <c r="H402" s="29">
        <v>641988.75</v>
      </c>
      <c r="I402" s="7">
        <v>80</v>
      </c>
      <c r="J402" s="7" t="s">
        <v>62</v>
      </c>
      <c r="K402" s="7">
        <v>814</v>
      </c>
      <c r="L402" s="7">
        <v>40</v>
      </c>
      <c r="M402" s="7" t="s">
        <v>59</v>
      </c>
      <c r="N402" s="10">
        <v>5.5498158141827736E-2</v>
      </c>
      <c r="O402" s="7">
        <v>0.12</v>
      </c>
      <c r="P402" s="7">
        <v>0.31</v>
      </c>
      <c r="R402" s="30">
        <f t="shared" si="53"/>
        <v>1592.1320999999998</v>
      </c>
      <c r="S402" s="7" t="str">
        <f t="shared" si="48"/>
        <v>80-85</v>
      </c>
      <c r="T402" s="7" t="str">
        <f t="shared" si="49"/>
        <v>&gt; 800</v>
      </c>
      <c r="U402" s="31">
        <f t="shared" si="50"/>
        <v>0.01</v>
      </c>
      <c r="V402" s="30">
        <f t="shared" si="51"/>
        <v>59909.545669516352</v>
      </c>
      <c r="W402" s="30">
        <f t="shared" si="52"/>
        <v>-46444.223587363726</v>
      </c>
      <c r="X402" s="30">
        <f t="shared" si="54"/>
        <v>0</v>
      </c>
      <c r="Y402" s="30">
        <f t="shared" si="55"/>
        <v>0</v>
      </c>
    </row>
    <row r="403" spans="1:25" x14ac:dyDescent="0.15">
      <c r="A403" s="7">
        <v>1399</v>
      </c>
      <c r="B403" s="19">
        <v>45435</v>
      </c>
      <c r="C403" s="7">
        <v>360</v>
      </c>
      <c r="D403" s="19">
        <v>45747</v>
      </c>
      <c r="E403" s="7">
        <v>10</v>
      </c>
      <c r="F403" s="29">
        <v>736447</v>
      </c>
      <c r="G403" s="29">
        <v>696169.2735933935</v>
      </c>
      <c r="H403" s="29">
        <v>783454.255319149</v>
      </c>
      <c r="I403" s="7">
        <v>94</v>
      </c>
      <c r="J403" s="7" t="s">
        <v>64</v>
      </c>
      <c r="K403" s="7">
        <v>617</v>
      </c>
      <c r="L403" s="7">
        <v>14</v>
      </c>
      <c r="M403" s="7" t="s">
        <v>59</v>
      </c>
      <c r="N403" s="10">
        <v>5.1644938379618317E-2</v>
      </c>
      <c r="O403" s="7">
        <v>0.25</v>
      </c>
      <c r="P403" s="7">
        <v>0.42</v>
      </c>
      <c r="R403" s="30">
        <f t="shared" si="53"/>
        <v>3093.0774000000001</v>
      </c>
      <c r="S403" s="7" t="str">
        <f t="shared" si="48"/>
        <v>90-95</v>
      </c>
      <c r="T403" s="7" t="str">
        <f t="shared" si="49"/>
        <v>&lt; 650</v>
      </c>
      <c r="U403" s="31">
        <f t="shared" si="50"/>
        <v>0.08</v>
      </c>
      <c r="V403" s="30">
        <f t="shared" si="51"/>
        <v>182744.43431826579</v>
      </c>
      <c r="W403" s="30">
        <f t="shared" si="52"/>
        <v>65041.620251786546</v>
      </c>
      <c r="X403" s="30">
        <f t="shared" si="54"/>
        <v>65041.620251786546</v>
      </c>
      <c r="Y403" s="30">
        <f t="shared" si="55"/>
        <v>5203.3296201429239</v>
      </c>
    </row>
    <row r="404" spans="1:25" x14ac:dyDescent="0.15">
      <c r="A404" s="7">
        <v>1400</v>
      </c>
      <c r="B404" s="19">
        <v>45357</v>
      </c>
      <c r="C404" s="7">
        <v>360</v>
      </c>
      <c r="D404" s="19">
        <v>45747</v>
      </c>
      <c r="E404" s="7">
        <v>12</v>
      </c>
      <c r="F404" s="29">
        <v>497036</v>
      </c>
      <c r="G404" s="29">
        <v>459336.1220777522</v>
      </c>
      <c r="H404" s="29">
        <v>564813.63636363635</v>
      </c>
      <c r="I404" s="7">
        <v>88</v>
      </c>
      <c r="J404" s="7" t="s">
        <v>73</v>
      </c>
      <c r="K404" s="7">
        <v>659</v>
      </c>
      <c r="L404" s="7">
        <v>1</v>
      </c>
      <c r="M404" s="7" t="s">
        <v>59</v>
      </c>
      <c r="N404" s="10">
        <v>6.5001556311557726E-2</v>
      </c>
      <c r="O404" s="7">
        <v>0.12</v>
      </c>
      <c r="P404" s="7">
        <v>0.26</v>
      </c>
      <c r="R404" s="30">
        <f t="shared" si="53"/>
        <v>1292.2936</v>
      </c>
      <c r="S404" s="7" t="str">
        <f t="shared" si="48"/>
        <v>85-90</v>
      </c>
      <c r="T404" s="7" t="str">
        <f t="shared" si="49"/>
        <v>650-700</v>
      </c>
      <c r="U404" s="31">
        <f t="shared" si="50"/>
        <v>0.04</v>
      </c>
      <c r="V404" s="30">
        <f t="shared" si="51"/>
        <v>57876.351381796776</v>
      </c>
      <c r="W404" s="30">
        <f t="shared" si="52"/>
        <v>2211.3372725489317</v>
      </c>
      <c r="X404" s="30">
        <f t="shared" si="54"/>
        <v>2211.3372725489317</v>
      </c>
      <c r="Y404" s="30">
        <f t="shared" si="55"/>
        <v>88.453490901957267</v>
      </c>
    </row>
    <row r="405" spans="1:25" x14ac:dyDescent="0.15">
      <c r="A405" s="7">
        <v>1401</v>
      </c>
      <c r="B405" s="19">
        <v>45448</v>
      </c>
      <c r="C405" s="7">
        <v>360</v>
      </c>
      <c r="D405" s="19">
        <v>45747</v>
      </c>
      <c r="E405" s="7">
        <v>9</v>
      </c>
      <c r="F405" s="29">
        <v>207423</v>
      </c>
      <c r="G405" s="29">
        <v>194384.28831919382</v>
      </c>
      <c r="H405" s="29">
        <v>259278.75</v>
      </c>
      <c r="I405" s="7">
        <v>80</v>
      </c>
      <c r="J405" s="7" t="s">
        <v>72</v>
      </c>
      <c r="K405" s="7">
        <v>618</v>
      </c>
      <c r="L405" s="7">
        <v>25</v>
      </c>
      <c r="M405" s="7" t="s">
        <v>59</v>
      </c>
      <c r="N405" s="10">
        <v>7.4888315097219188E-2</v>
      </c>
      <c r="O405" s="7">
        <v>0.12</v>
      </c>
      <c r="P405" s="7">
        <v>0.32</v>
      </c>
      <c r="R405" s="30">
        <f t="shared" si="53"/>
        <v>663.75360000000001</v>
      </c>
      <c r="S405" s="7" t="str">
        <f t="shared" si="48"/>
        <v>80-85</v>
      </c>
      <c r="T405" s="7" t="str">
        <f t="shared" si="49"/>
        <v>&lt; 650</v>
      </c>
      <c r="U405" s="31">
        <f t="shared" si="50"/>
        <v>0.04</v>
      </c>
      <c r="V405" s="30">
        <f t="shared" si="51"/>
        <v>24492.420328218421</v>
      </c>
      <c r="W405" s="30">
        <f t="shared" si="52"/>
        <v>-16283.43476484649</v>
      </c>
      <c r="X405" s="30">
        <f t="shared" si="54"/>
        <v>0</v>
      </c>
      <c r="Y405" s="30">
        <f t="shared" si="55"/>
        <v>0</v>
      </c>
    </row>
    <row r="406" spans="1:25" x14ac:dyDescent="0.15">
      <c r="A406" s="7">
        <v>1402</v>
      </c>
      <c r="B406" s="19">
        <v>45385</v>
      </c>
      <c r="C406" s="7">
        <v>360</v>
      </c>
      <c r="D406" s="19">
        <v>45747</v>
      </c>
      <c r="E406" s="7">
        <v>11</v>
      </c>
      <c r="F406" s="29">
        <v>278194</v>
      </c>
      <c r="G406" s="29">
        <v>259117.64927702709</v>
      </c>
      <c r="H406" s="29">
        <v>302384.78260869562</v>
      </c>
      <c r="I406" s="7">
        <v>92</v>
      </c>
      <c r="J406" s="7" t="s">
        <v>71</v>
      </c>
      <c r="K406" s="7">
        <v>673</v>
      </c>
      <c r="L406" s="7">
        <v>41</v>
      </c>
      <c r="M406" s="7" t="s">
        <v>59</v>
      </c>
      <c r="N406" s="10">
        <v>6.367552094742511E-2</v>
      </c>
      <c r="O406" s="7">
        <v>0.25</v>
      </c>
      <c r="P406" s="7">
        <v>0.35</v>
      </c>
      <c r="R406" s="30">
        <f t="shared" si="53"/>
        <v>973.67899999999997</v>
      </c>
      <c r="S406" s="7" t="str">
        <f t="shared" si="48"/>
        <v>90-95</v>
      </c>
      <c r="T406" s="7" t="str">
        <f t="shared" si="49"/>
        <v>650-700</v>
      </c>
      <c r="U406" s="31">
        <f t="shared" si="50"/>
        <v>7.0000000000000007E-2</v>
      </c>
      <c r="V406" s="30">
        <f t="shared" si="51"/>
        <v>68018.382935219619</v>
      </c>
      <c r="W406" s="30">
        <f t="shared" si="52"/>
        <v>15046.466523487208</v>
      </c>
      <c r="X406" s="30">
        <f t="shared" si="54"/>
        <v>15046.466523487208</v>
      </c>
      <c r="Y406" s="30">
        <f t="shared" si="55"/>
        <v>1053.2526566441047</v>
      </c>
    </row>
    <row r="407" spans="1:25" x14ac:dyDescent="0.15">
      <c r="A407" s="7">
        <v>1403</v>
      </c>
      <c r="B407" s="19">
        <v>45333</v>
      </c>
      <c r="C407" s="7">
        <v>360</v>
      </c>
      <c r="D407" s="19">
        <v>45747</v>
      </c>
      <c r="E407" s="7">
        <v>13</v>
      </c>
      <c r="F407" s="29">
        <v>342502</v>
      </c>
      <c r="G407" s="29">
        <v>316292.22876389761</v>
      </c>
      <c r="H407" s="29">
        <v>360528.42105263157</v>
      </c>
      <c r="I407" s="7">
        <v>95</v>
      </c>
      <c r="J407" s="7" t="s">
        <v>65</v>
      </c>
      <c r="K407" s="7">
        <v>718</v>
      </c>
      <c r="L407" s="7">
        <v>6</v>
      </c>
      <c r="M407" s="7" t="s">
        <v>59</v>
      </c>
      <c r="N407" s="10">
        <v>5.8297589821129377E-2</v>
      </c>
      <c r="O407" s="7">
        <v>0.3</v>
      </c>
      <c r="P407" s="7">
        <v>0.33</v>
      </c>
      <c r="R407" s="30">
        <f t="shared" si="53"/>
        <v>1130.2565999999999</v>
      </c>
      <c r="S407" s="7" t="str">
        <f t="shared" si="48"/>
        <v>90-95</v>
      </c>
      <c r="T407" s="7" t="str">
        <f t="shared" si="49"/>
        <v>700-750</v>
      </c>
      <c r="U407" s="31">
        <f t="shared" si="50"/>
        <v>0.06</v>
      </c>
      <c r="V407" s="30">
        <f t="shared" si="51"/>
        <v>99632.052060627742</v>
      </c>
      <c r="W407" s="30">
        <f t="shared" si="52"/>
        <v>25657.68230735563</v>
      </c>
      <c r="X407" s="30">
        <f t="shared" si="54"/>
        <v>25657.68230735563</v>
      </c>
      <c r="Y407" s="30">
        <f t="shared" si="55"/>
        <v>1539.4609384413377</v>
      </c>
    </row>
    <row r="408" spans="1:25" x14ac:dyDescent="0.15">
      <c r="A408" s="7">
        <v>1404</v>
      </c>
      <c r="B408" s="19">
        <v>45403</v>
      </c>
      <c r="C408" s="7">
        <v>360</v>
      </c>
      <c r="D408" s="19">
        <v>45747</v>
      </c>
      <c r="E408" s="7">
        <v>11</v>
      </c>
      <c r="F408" s="29">
        <v>252033</v>
      </c>
      <c r="G408" s="29">
        <v>233923.21052814572</v>
      </c>
      <c r="H408" s="29">
        <v>273948.91304347827</v>
      </c>
      <c r="I408" s="7">
        <v>92</v>
      </c>
      <c r="J408" s="7" t="s">
        <v>62</v>
      </c>
      <c r="K408" s="7">
        <v>782</v>
      </c>
      <c r="L408" s="7">
        <v>3</v>
      </c>
      <c r="M408" s="7" t="s">
        <v>59</v>
      </c>
      <c r="N408" s="10">
        <v>6.8195169747498882E-2</v>
      </c>
      <c r="O408" s="7">
        <v>0.25</v>
      </c>
      <c r="P408" s="7">
        <v>0.21</v>
      </c>
      <c r="R408" s="30">
        <f t="shared" si="53"/>
        <v>529.26930000000004</v>
      </c>
      <c r="S408" s="7" t="str">
        <f t="shared" si="48"/>
        <v>90-95</v>
      </c>
      <c r="T408" s="7" t="str">
        <f t="shared" si="49"/>
        <v>750-800</v>
      </c>
      <c r="U408" s="31">
        <f t="shared" si="50"/>
        <v>0.05</v>
      </c>
      <c r="V408" s="30">
        <f t="shared" si="51"/>
        <v>61404.842763638255</v>
      </c>
      <c r="W408" s="30">
        <f t="shared" si="52"/>
        <v>12762.794967596506</v>
      </c>
      <c r="X408" s="30">
        <f t="shared" si="54"/>
        <v>12762.794967596506</v>
      </c>
      <c r="Y408" s="30">
        <f t="shared" si="55"/>
        <v>638.13974837982539</v>
      </c>
    </row>
    <row r="409" spans="1:25" x14ac:dyDescent="0.15">
      <c r="A409" s="7">
        <v>1405</v>
      </c>
      <c r="B409" s="19">
        <v>45395</v>
      </c>
      <c r="C409" s="7">
        <v>360</v>
      </c>
      <c r="D409" s="19">
        <v>45747</v>
      </c>
      <c r="E409" s="7">
        <v>11</v>
      </c>
      <c r="F409" s="29">
        <v>497439</v>
      </c>
      <c r="G409" s="29">
        <v>467599.16805020766</v>
      </c>
      <c r="H409" s="29">
        <v>552710</v>
      </c>
      <c r="I409" s="7">
        <v>90</v>
      </c>
      <c r="J409" s="7" t="s">
        <v>71</v>
      </c>
      <c r="K409" s="7">
        <v>849</v>
      </c>
      <c r="L409" s="7">
        <v>49</v>
      </c>
      <c r="M409" s="7" t="s">
        <v>59</v>
      </c>
      <c r="N409" s="10">
        <v>5.1387873618194656E-2</v>
      </c>
      <c r="O409" s="7">
        <v>0.25</v>
      </c>
      <c r="P409" s="7">
        <v>0.2</v>
      </c>
      <c r="R409" s="30">
        <f t="shared" si="53"/>
        <v>994.87800000000004</v>
      </c>
      <c r="S409" s="7" t="str">
        <f t="shared" si="48"/>
        <v>85-90</v>
      </c>
      <c r="T409" s="7" t="str">
        <f t="shared" si="49"/>
        <v>&gt; 800</v>
      </c>
      <c r="U409" s="31">
        <f t="shared" si="50"/>
        <v>0.01</v>
      </c>
      <c r="V409" s="30">
        <f t="shared" si="51"/>
        <v>122744.78161317951</v>
      </c>
      <c r="W409" s="30">
        <f t="shared" si="52"/>
        <v>21175.626452718046</v>
      </c>
      <c r="X409" s="30">
        <f t="shared" si="54"/>
        <v>21175.626452718046</v>
      </c>
      <c r="Y409" s="30">
        <f t="shared" si="55"/>
        <v>211.75626452718046</v>
      </c>
    </row>
    <row r="410" spans="1:25" x14ac:dyDescent="0.15">
      <c r="A410" s="7">
        <v>1406</v>
      </c>
      <c r="B410" s="19">
        <v>45421</v>
      </c>
      <c r="C410" s="7">
        <v>360</v>
      </c>
      <c r="D410" s="19">
        <v>45747</v>
      </c>
      <c r="E410" s="7">
        <v>10</v>
      </c>
      <c r="F410" s="29">
        <v>545898</v>
      </c>
      <c r="G410" s="29">
        <v>512391.72578642599</v>
      </c>
      <c r="H410" s="29">
        <v>562781.44329896907</v>
      </c>
      <c r="I410" s="7">
        <v>97</v>
      </c>
      <c r="J410" s="7" t="s">
        <v>62</v>
      </c>
      <c r="K410" s="7">
        <v>830</v>
      </c>
      <c r="L410" s="7">
        <v>13</v>
      </c>
      <c r="M410" s="7" t="s">
        <v>59</v>
      </c>
      <c r="N410" s="10">
        <v>6.2202356947017937E-2</v>
      </c>
      <c r="O410" s="7">
        <v>0.35</v>
      </c>
      <c r="P410" s="7">
        <v>0.44</v>
      </c>
      <c r="R410" s="30">
        <f t="shared" si="53"/>
        <v>2401.9512</v>
      </c>
      <c r="S410" s="7" t="str">
        <f t="shared" si="48"/>
        <v>&gt; 95</v>
      </c>
      <c r="T410" s="7" t="str">
        <f t="shared" si="49"/>
        <v>&gt; 800</v>
      </c>
      <c r="U410" s="31">
        <f t="shared" si="50"/>
        <v>0.05</v>
      </c>
      <c r="V410" s="30">
        <f t="shared" si="51"/>
        <v>188303.95922651154</v>
      </c>
      <c r="W410" s="30">
        <f t="shared" si="52"/>
        <v>59647.085271623626</v>
      </c>
      <c r="X410" s="30">
        <f t="shared" si="54"/>
        <v>59647.085271623626</v>
      </c>
      <c r="Y410" s="30">
        <f t="shared" si="55"/>
        <v>2982.3542635811814</v>
      </c>
    </row>
    <row r="411" spans="1:25" x14ac:dyDescent="0.15">
      <c r="A411" s="7">
        <v>1407</v>
      </c>
      <c r="B411" s="19">
        <v>45344</v>
      </c>
      <c r="C411" s="7">
        <v>360</v>
      </c>
      <c r="D411" s="19">
        <v>45747</v>
      </c>
      <c r="E411" s="7">
        <v>13</v>
      </c>
      <c r="F411" s="29">
        <v>565513</v>
      </c>
      <c r="G411" s="29">
        <v>513979.5655351826</v>
      </c>
      <c r="H411" s="29">
        <v>589076.04166666674</v>
      </c>
      <c r="I411" s="7">
        <v>96</v>
      </c>
      <c r="J411" s="7" t="s">
        <v>63</v>
      </c>
      <c r="K411" s="7">
        <v>775</v>
      </c>
      <c r="L411" s="7">
        <v>28</v>
      </c>
      <c r="M411" s="7" t="s">
        <v>59</v>
      </c>
      <c r="N411" s="10">
        <v>7.5257120401069383E-2</v>
      </c>
      <c r="O411" s="7">
        <v>0.3</v>
      </c>
      <c r="P411" s="7">
        <v>0.39</v>
      </c>
      <c r="R411" s="30">
        <f t="shared" si="53"/>
        <v>2205.5007000000001</v>
      </c>
      <c r="S411" s="7" t="str">
        <f t="shared" si="48"/>
        <v>&gt; 95</v>
      </c>
      <c r="T411" s="7" t="str">
        <f t="shared" si="49"/>
        <v>750-800</v>
      </c>
      <c r="U411" s="31">
        <f t="shared" si="50"/>
        <v>0.06</v>
      </c>
      <c r="V411" s="30">
        <f t="shared" si="51"/>
        <v>161903.56314358252</v>
      </c>
      <c r="W411" s="30">
        <f t="shared" si="52"/>
        <v>38963.908395275008</v>
      </c>
      <c r="X411" s="30">
        <f t="shared" si="54"/>
        <v>38963.908395275008</v>
      </c>
      <c r="Y411" s="30">
        <f t="shared" si="55"/>
        <v>2337.8345037165004</v>
      </c>
    </row>
    <row r="412" spans="1:25" x14ac:dyDescent="0.15">
      <c r="A412" s="7">
        <v>1408</v>
      </c>
      <c r="B412" s="19">
        <v>45392</v>
      </c>
      <c r="C412" s="7">
        <v>360</v>
      </c>
      <c r="D412" s="19">
        <v>45747</v>
      </c>
      <c r="E412" s="7">
        <v>11</v>
      </c>
      <c r="F412" s="29">
        <v>356174</v>
      </c>
      <c r="G412" s="29">
        <v>327826.18256704236</v>
      </c>
      <c r="H412" s="29">
        <v>391400</v>
      </c>
      <c r="I412" s="7">
        <v>91</v>
      </c>
      <c r="J412" s="7" t="s">
        <v>72</v>
      </c>
      <c r="K412" s="7">
        <v>832</v>
      </c>
      <c r="L412" s="7">
        <v>31</v>
      </c>
      <c r="M412" s="7" t="s">
        <v>59</v>
      </c>
      <c r="N412" s="10">
        <v>7.8530097696269174E-2</v>
      </c>
      <c r="O412" s="7">
        <v>0.25</v>
      </c>
      <c r="P412" s="7">
        <v>0.41</v>
      </c>
      <c r="R412" s="30">
        <f t="shared" si="53"/>
        <v>1460.3134</v>
      </c>
      <c r="S412" s="7" t="str">
        <f t="shared" si="48"/>
        <v>90-95</v>
      </c>
      <c r="T412" s="7" t="str">
        <f t="shared" si="49"/>
        <v>&gt; 800</v>
      </c>
      <c r="U412" s="31">
        <f t="shared" si="50"/>
        <v>0.04</v>
      </c>
      <c r="V412" s="30">
        <f t="shared" si="51"/>
        <v>86054.372923848627</v>
      </c>
      <c r="W412" s="30">
        <f t="shared" si="52"/>
        <v>11527.491695394507</v>
      </c>
      <c r="X412" s="30">
        <f t="shared" si="54"/>
        <v>11527.491695394507</v>
      </c>
      <c r="Y412" s="30">
        <f t="shared" si="55"/>
        <v>461.09966781578026</v>
      </c>
    </row>
    <row r="413" spans="1:25" x14ac:dyDescent="0.15">
      <c r="A413" s="7">
        <v>1409</v>
      </c>
      <c r="B413" s="19">
        <v>45329</v>
      </c>
      <c r="C413" s="7">
        <v>360</v>
      </c>
      <c r="D413" s="19">
        <v>45747</v>
      </c>
      <c r="E413" s="7">
        <v>13</v>
      </c>
      <c r="F413" s="29">
        <v>536965</v>
      </c>
      <c r="G413" s="29">
        <v>497936.74172610469</v>
      </c>
      <c r="H413" s="29">
        <v>631723.5294117647</v>
      </c>
      <c r="I413" s="7">
        <v>85</v>
      </c>
      <c r="J413" s="7" t="s">
        <v>64</v>
      </c>
      <c r="K413" s="7">
        <v>680</v>
      </c>
      <c r="L413" s="7">
        <v>9</v>
      </c>
      <c r="M413" s="7" t="s">
        <v>59</v>
      </c>
      <c r="N413" s="10">
        <v>5.3610269737181929E-2</v>
      </c>
      <c r="O413" s="7">
        <v>0.12</v>
      </c>
      <c r="P413" s="7">
        <v>0.39</v>
      </c>
      <c r="R413" s="30">
        <f t="shared" si="53"/>
        <v>2094.1635000000001</v>
      </c>
      <c r="S413" s="7" t="str">
        <f t="shared" si="48"/>
        <v>80-85</v>
      </c>
      <c r="T413" s="7" t="str">
        <f t="shared" si="49"/>
        <v>650-700</v>
      </c>
      <c r="U413" s="31">
        <f t="shared" si="50"/>
        <v>0.03</v>
      </c>
      <c r="V413" s="30">
        <f t="shared" si="51"/>
        <v>62740.029457489189</v>
      </c>
      <c r="W413" s="30">
        <f t="shared" si="52"/>
        <v>-14131.421187590051</v>
      </c>
      <c r="X413" s="30">
        <f t="shared" si="54"/>
        <v>0</v>
      </c>
      <c r="Y413" s="30">
        <f t="shared" si="55"/>
        <v>0</v>
      </c>
    </row>
    <row r="414" spans="1:25" x14ac:dyDescent="0.15">
      <c r="A414" s="7">
        <v>1410</v>
      </c>
      <c r="B414" s="19">
        <v>45439</v>
      </c>
      <c r="C414" s="7">
        <v>360</v>
      </c>
      <c r="D414" s="19">
        <v>45747</v>
      </c>
      <c r="E414" s="7">
        <v>10</v>
      </c>
      <c r="F414" s="29">
        <v>471067</v>
      </c>
      <c r="G414" s="29">
        <v>445758.17184845748</v>
      </c>
      <c r="H414" s="29">
        <v>567550.60240963858</v>
      </c>
      <c r="I414" s="7">
        <v>83</v>
      </c>
      <c r="J414" s="7" t="s">
        <v>61</v>
      </c>
      <c r="K414" s="7">
        <v>712</v>
      </c>
      <c r="L414" s="7">
        <v>7</v>
      </c>
      <c r="M414" s="7" t="s">
        <v>59</v>
      </c>
      <c r="N414" s="10">
        <v>5.0072695893588891E-2</v>
      </c>
      <c r="O414" s="7">
        <v>0.12</v>
      </c>
      <c r="P414" s="7">
        <v>0.41</v>
      </c>
      <c r="R414" s="30">
        <f t="shared" si="53"/>
        <v>1931.3747000000001</v>
      </c>
      <c r="S414" s="7" t="str">
        <f t="shared" si="48"/>
        <v>80-85</v>
      </c>
      <c r="T414" s="7" t="str">
        <f t="shared" si="49"/>
        <v>700-750</v>
      </c>
      <c r="U414" s="31">
        <f t="shared" si="50"/>
        <v>2.5000000000000001E-2</v>
      </c>
      <c r="V414" s="30">
        <f t="shared" si="51"/>
        <v>56165.529652905643</v>
      </c>
      <c r="W414" s="30">
        <f t="shared" si="52"/>
        <v>-14371.931607312406</v>
      </c>
      <c r="X414" s="30">
        <f t="shared" si="54"/>
        <v>0</v>
      </c>
      <c r="Y414" s="30">
        <f t="shared" si="55"/>
        <v>0</v>
      </c>
    </row>
    <row r="415" spans="1:25" x14ac:dyDescent="0.15">
      <c r="A415" s="7">
        <v>1411</v>
      </c>
      <c r="B415" s="19">
        <v>45356</v>
      </c>
      <c r="C415" s="7">
        <v>360</v>
      </c>
      <c r="D415" s="19">
        <v>45747</v>
      </c>
      <c r="E415" s="7">
        <v>12</v>
      </c>
      <c r="F415" s="29">
        <v>793018</v>
      </c>
      <c r="G415" s="29">
        <v>739664.88546270714</v>
      </c>
      <c r="H415" s="29">
        <v>911514.94252873561</v>
      </c>
      <c r="I415" s="7">
        <v>87</v>
      </c>
      <c r="J415" s="7" t="s">
        <v>62</v>
      </c>
      <c r="K415" s="7">
        <v>807</v>
      </c>
      <c r="L415" s="7">
        <v>48</v>
      </c>
      <c r="M415" s="7" t="s">
        <v>59</v>
      </c>
      <c r="N415" s="10">
        <v>5.3859603858534937E-2</v>
      </c>
      <c r="O415" s="7">
        <v>0.12</v>
      </c>
      <c r="P415" s="7">
        <v>0.43</v>
      </c>
      <c r="R415" s="30">
        <f t="shared" si="53"/>
        <v>3409.9773999999998</v>
      </c>
      <c r="S415" s="7" t="str">
        <f t="shared" si="48"/>
        <v>85-90</v>
      </c>
      <c r="T415" s="7" t="str">
        <f t="shared" si="49"/>
        <v>&gt; 800</v>
      </c>
      <c r="U415" s="31">
        <f t="shared" si="50"/>
        <v>0.01</v>
      </c>
      <c r="V415" s="30">
        <f t="shared" si="51"/>
        <v>93197.775568301106</v>
      </c>
      <c r="W415" s="30">
        <f t="shared" si="52"/>
        <v>1860.4285864173435</v>
      </c>
      <c r="X415" s="30">
        <f t="shared" si="54"/>
        <v>1860.4285864173435</v>
      </c>
      <c r="Y415" s="30">
        <f t="shared" si="55"/>
        <v>18.604285864173434</v>
      </c>
    </row>
    <row r="416" spans="1:25" x14ac:dyDescent="0.15">
      <c r="A416" s="7">
        <v>1412</v>
      </c>
      <c r="B416" s="19">
        <v>45454</v>
      </c>
      <c r="C416" s="7">
        <v>360</v>
      </c>
      <c r="D416" s="19">
        <v>45747</v>
      </c>
      <c r="E416" s="7">
        <v>9</v>
      </c>
      <c r="F416" s="29">
        <v>337215</v>
      </c>
      <c r="G416" s="29">
        <v>316064.72523059911</v>
      </c>
      <c r="H416" s="29">
        <v>401446.42857142858</v>
      </c>
      <c r="I416" s="7">
        <v>84</v>
      </c>
      <c r="J416" s="7" t="s">
        <v>66</v>
      </c>
      <c r="K416" s="7">
        <v>778</v>
      </c>
      <c r="L416" s="7">
        <v>3</v>
      </c>
      <c r="M416" s="7" t="s">
        <v>59</v>
      </c>
      <c r="N416" s="10">
        <v>7.4660877626523972E-2</v>
      </c>
      <c r="O416" s="7">
        <v>0.12</v>
      </c>
      <c r="P416" s="7">
        <v>0.26</v>
      </c>
      <c r="R416" s="30">
        <f t="shared" si="53"/>
        <v>876.75900000000013</v>
      </c>
      <c r="S416" s="7" t="str">
        <f t="shared" si="48"/>
        <v>80-85</v>
      </c>
      <c r="T416" s="7" t="str">
        <f t="shared" si="49"/>
        <v>750-800</v>
      </c>
      <c r="U416" s="31">
        <f t="shared" si="50"/>
        <v>0.02</v>
      </c>
      <c r="V416" s="30">
        <f t="shared" si="51"/>
        <v>39824.15537905549</v>
      </c>
      <c r="W416" s="30">
        <f t="shared" si="52"/>
        <v>-9361.5027935851831</v>
      </c>
      <c r="X416" s="30">
        <f t="shared" si="54"/>
        <v>0</v>
      </c>
      <c r="Y416" s="30">
        <f t="shared" si="55"/>
        <v>0</v>
      </c>
    </row>
    <row r="417" spans="1:25" x14ac:dyDescent="0.15">
      <c r="A417" s="7">
        <v>1413</v>
      </c>
      <c r="B417" s="19">
        <v>45406</v>
      </c>
      <c r="C417" s="7">
        <v>360</v>
      </c>
      <c r="D417" s="19">
        <v>45747</v>
      </c>
      <c r="E417" s="7">
        <v>11</v>
      </c>
      <c r="F417" s="29">
        <v>338369</v>
      </c>
      <c r="G417" s="29">
        <v>313310.309487394</v>
      </c>
      <c r="H417" s="29">
        <v>388929.88505747129</v>
      </c>
      <c r="I417" s="7">
        <v>87</v>
      </c>
      <c r="J417" s="7" t="s">
        <v>69</v>
      </c>
      <c r="K417" s="7">
        <v>719</v>
      </c>
      <c r="L417" s="7">
        <v>42</v>
      </c>
      <c r="M417" s="7" t="s">
        <v>59</v>
      </c>
      <c r="N417" s="10">
        <v>7.1180289950856471E-2</v>
      </c>
      <c r="O417" s="7">
        <v>0.12</v>
      </c>
      <c r="P417" s="7">
        <v>0.23</v>
      </c>
      <c r="R417" s="30">
        <f t="shared" si="53"/>
        <v>778.2487000000001</v>
      </c>
      <c r="S417" s="7" t="str">
        <f t="shared" si="48"/>
        <v>85-90</v>
      </c>
      <c r="T417" s="7" t="str">
        <f t="shared" si="49"/>
        <v>700-750</v>
      </c>
      <c r="U417" s="31">
        <f t="shared" si="50"/>
        <v>0.03</v>
      </c>
      <c r="V417" s="30">
        <f t="shared" si="51"/>
        <v>39477.098995411645</v>
      </c>
      <c r="W417" s="30">
        <f t="shared" si="52"/>
        <v>-1614.5773370868992</v>
      </c>
      <c r="X417" s="30">
        <f t="shared" si="54"/>
        <v>0</v>
      </c>
      <c r="Y417" s="30">
        <f t="shared" si="55"/>
        <v>0</v>
      </c>
    </row>
    <row r="418" spans="1:25" x14ac:dyDescent="0.15">
      <c r="A418" s="7">
        <v>1414</v>
      </c>
      <c r="B418" s="19">
        <v>45391</v>
      </c>
      <c r="C418" s="7">
        <v>360</v>
      </c>
      <c r="D418" s="19">
        <v>45747</v>
      </c>
      <c r="E418" s="7">
        <v>11</v>
      </c>
      <c r="F418" s="29">
        <v>714072</v>
      </c>
      <c r="G418" s="29">
        <v>671171.0967862797</v>
      </c>
      <c r="H418" s="29">
        <v>870819.51219512196</v>
      </c>
      <c r="I418" s="7">
        <v>82</v>
      </c>
      <c r="J418" s="7" t="s">
        <v>72</v>
      </c>
      <c r="K418" s="7">
        <v>838</v>
      </c>
      <c r="L418" s="7">
        <v>34</v>
      </c>
      <c r="M418" s="7" t="s">
        <v>59</v>
      </c>
      <c r="N418" s="10">
        <v>5.1524131264096586E-2</v>
      </c>
      <c r="O418" s="7">
        <v>0.12</v>
      </c>
      <c r="P418" s="7">
        <v>0.39</v>
      </c>
      <c r="R418" s="30">
        <f t="shared" si="53"/>
        <v>2784.8808000000004</v>
      </c>
      <c r="S418" s="7" t="str">
        <f t="shared" si="48"/>
        <v>80-85</v>
      </c>
      <c r="T418" s="7" t="str">
        <f t="shared" si="49"/>
        <v>&gt; 800</v>
      </c>
      <c r="U418" s="31">
        <f t="shared" si="50"/>
        <v>0.01</v>
      </c>
      <c r="V418" s="30">
        <f t="shared" si="51"/>
        <v>84567.558195071237</v>
      </c>
      <c r="W418" s="30">
        <f t="shared" si="52"/>
        <v>-35466.933740259963</v>
      </c>
      <c r="X418" s="30">
        <f t="shared" si="54"/>
        <v>0</v>
      </c>
      <c r="Y418" s="30">
        <f t="shared" si="55"/>
        <v>0</v>
      </c>
    </row>
    <row r="419" spans="1:25" x14ac:dyDescent="0.15">
      <c r="A419" s="7">
        <v>1415</v>
      </c>
      <c r="B419" s="19">
        <v>45367</v>
      </c>
      <c r="C419" s="7">
        <v>360</v>
      </c>
      <c r="D419" s="19">
        <v>45747</v>
      </c>
      <c r="E419" s="7">
        <v>12</v>
      </c>
      <c r="F419" s="29">
        <v>362538</v>
      </c>
      <c r="G419" s="29">
        <v>337219.12478331063</v>
      </c>
      <c r="H419" s="29">
        <v>381618.94736842107</v>
      </c>
      <c r="I419" s="7">
        <v>95</v>
      </c>
      <c r="J419" s="7" t="s">
        <v>65</v>
      </c>
      <c r="K419" s="7">
        <v>684</v>
      </c>
      <c r="L419" s="7">
        <v>24</v>
      </c>
      <c r="M419" s="7" t="s">
        <v>59</v>
      </c>
      <c r="N419" s="10">
        <v>5.7249437359340086E-2</v>
      </c>
      <c r="O419" s="7">
        <v>0.3</v>
      </c>
      <c r="P419" s="7">
        <v>0.25</v>
      </c>
      <c r="R419" s="30">
        <f t="shared" si="53"/>
        <v>906.34500000000003</v>
      </c>
      <c r="S419" s="7" t="str">
        <f t="shared" si="48"/>
        <v>90-95</v>
      </c>
      <c r="T419" s="7" t="str">
        <f t="shared" si="49"/>
        <v>650-700</v>
      </c>
      <c r="U419" s="31">
        <f t="shared" si="50"/>
        <v>7.0000000000000007E-2</v>
      </c>
      <c r="V419" s="30">
        <f t="shared" si="51"/>
        <v>106224.02430674285</v>
      </c>
      <c r="W419" s="30">
        <f t="shared" si="52"/>
        <v>29703.975759318273</v>
      </c>
      <c r="X419" s="30">
        <f t="shared" si="54"/>
        <v>29703.975759318273</v>
      </c>
      <c r="Y419" s="30">
        <f t="shared" si="55"/>
        <v>2079.2783031522795</v>
      </c>
    </row>
    <row r="420" spans="1:25" x14ac:dyDescent="0.15">
      <c r="A420" s="7">
        <v>1416</v>
      </c>
      <c r="B420" s="19">
        <v>45460</v>
      </c>
      <c r="C420" s="7">
        <v>360</v>
      </c>
      <c r="D420" s="19">
        <v>45747</v>
      </c>
      <c r="E420" s="7">
        <v>9</v>
      </c>
      <c r="F420" s="29">
        <v>431026</v>
      </c>
      <c r="G420" s="29">
        <v>408483.80097386468</v>
      </c>
      <c r="H420" s="29">
        <v>448985.41666666669</v>
      </c>
      <c r="I420" s="7">
        <v>96</v>
      </c>
      <c r="J420" s="7" t="s">
        <v>72</v>
      </c>
      <c r="K420" s="7">
        <v>828</v>
      </c>
      <c r="L420" s="7">
        <v>15</v>
      </c>
      <c r="M420" s="7" t="s">
        <v>59</v>
      </c>
      <c r="N420" s="10">
        <v>5.7110242624506327E-2</v>
      </c>
      <c r="O420" s="7">
        <v>0.3</v>
      </c>
      <c r="P420" s="7">
        <v>0.2</v>
      </c>
      <c r="R420" s="30">
        <f t="shared" si="53"/>
        <v>862.05200000000013</v>
      </c>
      <c r="S420" s="7" t="str">
        <f t="shared" si="48"/>
        <v>&gt; 95</v>
      </c>
      <c r="T420" s="7" t="str">
        <f t="shared" si="49"/>
        <v>&gt; 800</v>
      </c>
      <c r="U420" s="31">
        <f t="shared" si="50"/>
        <v>0.05</v>
      </c>
      <c r="V420" s="30">
        <f t="shared" si="51"/>
        <v>128672.39730676738</v>
      </c>
      <c r="W420" s="30">
        <f t="shared" si="52"/>
        <v>47270.386855891265</v>
      </c>
      <c r="X420" s="30">
        <f t="shared" si="54"/>
        <v>47270.386855891265</v>
      </c>
      <c r="Y420" s="30">
        <f t="shared" si="55"/>
        <v>2363.5193427945633</v>
      </c>
    </row>
    <row r="421" spans="1:25" x14ac:dyDescent="0.15">
      <c r="A421" s="7">
        <v>1417</v>
      </c>
      <c r="B421" s="19">
        <v>45366</v>
      </c>
      <c r="C421" s="7">
        <v>360</v>
      </c>
      <c r="D421" s="19">
        <v>45747</v>
      </c>
      <c r="E421" s="7">
        <v>12</v>
      </c>
      <c r="F421" s="29">
        <v>623667</v>
      </c>
      <c r="G421" s="29">
        <v>573375.52963444497</v>
      </c>
      <c r="H421" s="29">
        <v>769959.25925925921</v>
      </c>
      <c r="I421" s="7">
        <v>81</v>
      </c>
      <c r="J421" s="7" t="s">
        <v>67</v>
      </c>
      <c r="K421" s="7">
        <v>637</v>
      </c>
      <c r="L421" s="7">
        <v>10</v>
      </c>
      <c r="M421" s="7" t="s">
        <v>59</v>
      </c>
      <c r="N421" s="10">
        <v>7.0993206203156176E-2</v>
      </c>
      <c r="O421" s="7">
        <v>0.12</v>
      </c>
      <c r="P421" s="7">
        <v>0.45</v>
      </c>
      <c r="R421" s="30">
        <f t="shared" si="53"/>
        <v>2806.5015000000003</v>
      </c>
      <c r="S421" s="7" t="str">
        <f t="shared" si="48"/>
        <v>80-85</v>
      </c>
      <c r="T421" s="7" t="str">
        <f t="shared" si="49"/>
        <v>&lt; 650</v>
      </c>
      <c r="U421" s="31">
        <f t="shared" si="50"/>
        <v>0.04</v>
      </c>
      <c r="V421" s="30">
        <f t="shared" si="51"/>
        <v>72245.316733940068</v>
      </c>
      <c r="W421" s="30">
        <f t="shared" si="52"/>
        <v>-52421.064254203113</v>
      </c>
      <c r="X421" s="30">
        <f t="shared" si="54"/>
        <v>0</v>
      </c>
      <c r="Y421" s="30">
        <f t="shared" si="55"/>
        <v>0</v>
      </c>
    </row>
    <row r="422" spans="1:25" x14ac:dyDescent="0.15">
      <c r="A422" s="7">
        <v>1418</v>
      </c>
      <c r="B422" s="19">
        <v>45462</v>
      </c>
      <c r="C422" s="7">
        <v>360</v>
      </c>
      <c r="D422" s="19">
        <v>45747</v>
      </c>
      <c r="E422" s="7">
        <v>9</v>
      </c>
      <c r="F422" s="29">
        <v>255497</v>
      </c>
      <c r="G422" s="29">
        <v>242747.0956351627</v>
      </c>
      <c r="H422" s="29">
        <v>311581.70731707319</v>
      </c>
      <c r="I422" s="7">
        <v>82</v>
      </c>
      <c r="J422" s="7" t="s">
        <v>66</v>
      </c>
      <c r="K422" s="7">
        <v>805</v>
      </c>
      <c r="L422" s="7">
        <v>27</v>
      </c>
      <c r="M422" s="7" t="s">
        <v>59</v>
      </c>
      <c r="N422" s="10">
        <v>5.2865663483733824E-2</v>
      </c>
      <c r="O422" s="7">
        <v>0.12</v>
      </c>
      <c r="P422" s="7">
        <v>0.41</v>
      </c>
      <c r="R422" s="30">
        <f t="shared" si="53"/>
        <v>1047.5376999999999</v>
      </c>
      <c r="S422" s="7" t="str">
        <f t="shared" si="48"/>
        <v>80-85</v>
      </c>
      <c r="T422" s="7" t="str">
        <f t="shared" si="49"/>
        <v>&gt; 800</v>
      </c>
      <c r="U422" s="31">
        <f t="shared" si="50"/>
        <v>0.01</v>
      </c>
      <c r="V422" s="30">
        <f t="shared" si="51"/>
        <v>30586.134050030501</v>
      </c>
      <c r="W422" s="30">
        <f t="shared" si="52"/>
        <v>-9960.0008025913558</v>
      </c>
      <c r="X422" s="30">
        <f t="shared" si="54"/>
        <v>0</v>
      </c>
      <c r="Y422" s="30">
        <f t="shared" si="55"/>
        <v>0</v>
      </c>
    </row>
    <row r="423" spans="1:25" x14ac:dyDescent="0.15">
      <c r="A423" s="7">
        <v>1419</v>
      </c>
      <c r="B423" s="19">
        <v>45349</v>
      </c>
      <c r="C423" s="7">
        <v>360</v>
      </c>
      <c r="D423" s="19">
        <v>45747</v>
      </c>
      <c r="E423" s="7">
        <v>13</v>
      </c>
      <c r="F423" s="29">
        <v>459147</v>
      </c>
      <c r="G423" s="29">
        <v>425269.10361714615</v>
      </c>
      <c r="H423" s="29">
        <v>488454.25531914894</v>
      </c>
      <c r="I423" s="7">
        <v>94</v>
      </c>
      <c r="J423" s="7" t="s">
        <v>73</v>
      </c>
      <c r="K423" s="7">
        <v>715</v>
      </c>
      <c r="L423" s="7">
        <v>1</v>
      </c>
      <c r="M423" s="7" t="s">
        <v>59</v>
      </c>
      <c r="N423" s="10">
        <v>5.4965487396037342E-2</v>
      </c>
      <c r="O423" s="7">
        <v>0.25</v>
      </c>
      <c r="P423" s="7">
        <v>0.34</v>
      </c>
      <c r="R423" s="30">
        <f t="shared" si="53"/>
        <v>1561.0998000000002</v>
      </c>
      <c r="S423" s="7" t="str">
        <f t="shared" si="48"/>
        <v>90-95</v>
      </c>
      <c r="T423" s="7" t="str">
        <f t="shared" si="49"/>
        <v>700-750</v>
      </c>
      <c r="U423" s="31">
        <f t="shared" si="50"/>
        <v>0.06</v>
      </c>
      <c r="V423" s="30">
        <f t="shared" si="51"/>
        <v>111633.13969950087</v>
      </c>
      <c r="W423" s="30">
        <f t="shared" si="52"/>
        <v>31346.441776726861</v>
      </c>
      <c r="X423" s="30">
        <f t="shared" si="54"/>
        <v>31346.441776726861</v>
      </c>
      <c r="Y423" s="30">
        <f t="shared" si="55"/>
        <v>1880.7865066036115</v>
      </c>
    </row>
    <row r="424" spans="1:25" x14ac:dyDescent="0.15">
      <c r="A424" s="7">
        <v>1420</v>
      </c>
      <c r="B424" s="19">
        <v>45413</v>
      </c>
      <c r="C424" s="7">
        <v>360</v>
      </c>
      <c r="D424" s="19">
        <v>45747</v>
      </c>
      <c r="E424" s="7">
        <v>10</v>
      </c>
      <c r="F424" s="29">
        <v>556312</v>
      </c>
      <c r="G424" s="29">
        <v>522571.34761880047</v>
      </c>
      <c r="H424" s="29">
        <v>591821.27659574477</v>
      </c>
      <c r="I424" s="7">
        <v>94</v>
      </c>
      <c r="J424" s="7" t="s">
        <v>72</v>
      </c>
      <c r="K424" s="7">
        <v>660</v>
      </c>
      <c r="L424" s="7">
        <v>22</v>
      </c>
      <c r="M424" s="7" t="s">
        <v>59</v>
      </c>
      <c r="N424" s="10">
        <v>6.1079118006670444E-2</v>
      </c>
      <c r="O424" s="7">
        <v>0.25</v>
      </c>
      <c r="P424" s="7">
        <v>0.39</v>
      </c>
      <c r="R424" s="30">
        <f t="shared" si="53"/>
        <v>2169.6167999999998</v>
      </c>
      <c r="S424" s="7" t="str">
        <f t="shared" si="48"/>
        <v>90-95</v>
      </c>
      <c r="T424" s="7" t="str">
        <f t="shared" si="49"/>
        <v>650-700</v>
      </c>
      <c r="U424" s="31">
        <f t="shared" si="50"/>
        <v>7.0000000000000007E-2</v>
      </c>
      <c r="V424" s="30">
        <f t="shared" si="51"/>
        <v>137174.97874993514</v>
      </c>
      <c r="W424" s="30">
        <f t="shared" si="52"/>
        <v>45651.829893357528</v>
      </c>
      <c r="X424" s="30">
        <f t="shared" si="54"/>
        <v>45651.829893357528</v>
      </c>
      <c r="Y424" s="30">
        <f t="shared" si="55"/>
        <v>3195.6280925350275</v>
      </c>
    </row>
    <row r="425" spans="1:25" x14ac:dyDescent="0.15">
      <c r="A425" s="7">
        <v>1421</v>
      </c>
      <c r="B425" s="19">
        <v>45359</v>
      </c>
      <c r="C425" s="7">
        <v>360</v>
      </c>
      <c r="D425" s="19">
        <v>45747</v>
      </c>
      <c r="E425" s="7">
        <v>12</v>
      </c>
      <c r="F425" s="29">
        <v>257522</v>
      </c>
      <c r="G425" s="29">
        <v>236347.27179572763</v>
      </c>
      <c r="H425" s="29">
        <v>296002.29885057471</v>
      </c>
      <c r="I425" s="7">
        <v>87</v>
      </c>
      <c r="J425" s="7" t="s">
        <v>62</v>
      </c>
      <c r="K425" s="7">
        <v>768</v>
      </c>
      <c r="L425" s="7">
        <v>22</v>
      </c>
      <c r="M425" s="7" t="s">
        <v>59</v>
      </c>
      <c r="N425" s="10">
        <v>7.2946552244574081E-2</v>
      </c>
      <c r="O425" s="7">
        <v>0.12</v>
      </c>
      <c r="P425" s="7">
        <v>0.2</v>
      </c>
      <c r="R425" s="30">
        <f t="shared" si="53"/>
        <v>515.04399999999998</v>
      </c>
      <c r="S425" s="7" t="str">
        <f t="shared" si="48"/>
        <v>85-90</v>
      </c>
      <c r="T425" s="7" t="str">
        <f t="shared" si="49"/>
        <v>750-800</v>
      </c>
      <c r="U425" s="31">
        <f t="shared" si="50"/>
        <v>0.02</v>
      </c>
      <c r="V425" s="30">
        <f t="shared" si="51"/>
        <v>29779.756246261684</v>
      </c>
      <c r="W425" s="30">
        <f t="shared" si="52"/>
        <v>-3437.3186374744691</v>
      </c>
      <c r="X425" s="30">
        <f t="shared" si="54"/>
        <v>0</v>
      </c>
      <c r="Y425" s="30">
        <f t="shared" si="55"/>
        <v>0</v>
      </c>
    </row>
    <row r="426" spans="1:25" x14ac:dyDescent="0.15">
      <c r="A426" s="7">
        <v>1422</v>
      </c>
      <c r="B426" s="19">
        <v>45373</v>
      </c>
      <c r="C426" s="7">
        <v>360</v>
      </c>
      <c r="D426" s="19">
        <v>45747</v>
      </c>
      <c r="E426" s="7">
        <v>12</v>
      </c>
      <c r="F426" s="29">
        <v>756128</v>
      </c>
      <c r="G426" s="29">
        <v>705552.53781363147</v>
      </c>
      <c r="H426" s="29">
        <v>945160</v>
      </c>
      <c r="I426" s="7">
        <v>80</v>
      </c>
      <c r="J426" s="7" t="s">
        <v>67</v>
      </c>
      <c r="K426" s="7">
        <v>772</v>
      </c>
      <c r="L426" s="7">
        <v>9</v>
      </c>
      <c r="M426" s="7" t="s">
        <v>59</v>
      </c>
      <c r="N426" s="10">
        <v>5.333636159624236E-2</v>
      </c>
      <c r="O426" s="7">
        <v>0.12</v>
      </c>
      <c r="P426" s="7">
        <v>0.39</v>
      </c>
      <c r="R426" s="30">
        <f t="shared" si="53"/>
        <v>2948.8991999999998</v>
      </c>
      <c r="S426" s="7" t="str">
        <f t="shared" si="48"/>
        <v>80-85</v>
      </c>
      <c r="T426" s="7" t="str">
        <f t="shared" si="49"/>
        <v>750-800</v>
      </c>
      <c r="U426" s="31">
        <f t="shared" si="50"/>
        <v>0.02</v>
      </c>
      <c r="V426" s="30">
        <f t="shared" si="51"/>
        <v>88899.619764517556</v>
      </c>
      <c r="W426" s="30">
        <f t="shared" si="52"/>
        <v>-62555.835295686964</v>
      </c>
      <c r="X426" s="30">
        <f t="shared" si="54"/>
        <v>0</v>
      </c>
      <c r="Y426" s="30">
        <f t="shared" si="55"/>
        <v>0</v>
      </c>
    </row>
    <row r="427" spans="1:25" x14ac:dyDescent="0.15">
      <c r="A427" s="7">
        <v>1423</v>
      </c>
      <c r="B427" s="19">
        <v>45355</v>
      </c>
      <c r="C427" s="7">
        <v>360</v>
      </c>
      <c r="D427" s="19">
        <v>45747</v>
      </c>
      <c r="E427" s="7">
        <v>12</v>
      </c>
      <c r="F427" s="29">
        <v>747441</v>
      </c>
      <c r="G427" s="29">
        <v>686655.14410825679</v>
      </c>
      <c r="H427" s="29">
        <v>900531.32530120481</v>
      </c>
      <c r="I427" s="7">
        <v>83</v>
      </c>
      <c r="J427" s="7" t="s">
        <v>70</v>
      </c>
      <c r="K427" s="7">
        <v>728</v>
      </c>
      <c r="L427" s="7">
        <v>21</v>
      </c>
      <c r="M427" s="7" t="s">
        <v>59</v>
      </c>
      <c r="N427" s="10">
        <v>7.1840787150796406E-2</v>
      </c>
      <c r="O427" s="7">
        <v>0.12</v>
      </c>
      <c r="P427" s="7">
        <v>0.41</v>
      </c>
      <c r="R427" s="30">
        <f t="shared" si="53"/>
        <v>3064.5081</v>
      </c>
      <c r="S427" s="7" t="str">
        <f t="shared" si="48"/>
        <v>80-85</v>
      </c>
      <c r="T427" s="7" t="str">
        <f t="shared" si="49"/>
        <v>700-750</v>
      </c>
      <c r="U427" s="31">
        <f t="shared" si="50"/>
        <v>2.5000000000000001E-2</v>
      </c>
      <c r="V427" s="30">
        <f t="shared" si="51"/>
        <v>86518.548157640354</v>
      </c>
      <c r="W427" s="30">
        <f t="shared" si="52"/>
        <v>-44463.72519235441</v>
      </c>
      <c r="X427" s="30">
        <f t="shared" si="54"/>
        <v>0</v>
      </c>
      <c r="Y427" s="30">
        <f t="shared" si="55"/>
        <v>0</v>
      </c>
    </row>
    <row r="428" spans="1:25" x14ac:dyDescent="0.15">
      <c r="A428" s="7">
        <v>1424</v>
      </c>
      <c r="B428" s="19">
        <v>45441</v>
      </c>
      <c r="C428" s="7">
        <v>360</v>
      </c>
      <c r="D428" s="19">
        <v>45747</v>
      </c>
      <c r="E428" s="7">
        <v>10</v>
      </c>
      <c r="F428" s="29">
        <v>266226</v>
      </c>
      <c r="G428" s="29">
        <v>251569.16764243887</v>
      </c>
      <c r="H428" s="29">
        <v>316935.71428571432</v>
      </c>
      <c r="I428" s="7">
        <v>84</v>
      </c>
      <c r="J428" s="7" t="s">
        <v>63</v>
      </c>
      <c r="K428" s="7">
        <v>779</v>
      </c>
      <c r="L428" s="7">
        <v>36</v>
      </c>
      <c r="M428" s="7" t="s">
        <v>59</v>
      </c>
      <c r="N428" s="10">
        <v>5.2231360652312944E-2</v>
      </c>
      <c r="O428" s="7">
        <v>0.12</v>
      </c>
      <c r="P428" s="7">
        <v>0.3</v>
      </c>
      <c r="R428" s="30">
        <f t="shared" si="53"/>
        <v>798.678</v>
      </c>
      <c r="S428" s="7" t="str">
        <f t="shared" si="48"/>
        <v>80-85</v>
      </c>
      <c r="T428" s="7" t="str">
        <f t="shared" si="49"/>
        <v>750-800</v>
      </c>
      <c r="U428" s="31">
        <f t="shared" si="50"/>
        <v>0.02</v>
      </c>
      <c r="V428" s="30">
        <f t="shared" si="51"/>
        <v>31697.715122947298</v>
      </c>
      <c r="W428" s="30">
        <f t="shared" si="52"/>
        <v>-5247.7311182963313</v>
      </c>
      <c r="X428" s="30">
        <f t="shared" si="54"/>
        <v>0</v>
      </c>
      <c r="Y428" s="30">
        <f t="shared" si="55"/>
        <v>0</v>
      </c>
    </row>
    <row r="429" spans="1:25" x14ac:dyDescent="0.15">
      <c r="A429" s="7">
        <v>1425</v>
      </c>
      <c r="B429" s="19">
        <v>45405</v>
      </c>
      <c r="C429" s="7">
        <v>360</v>
      </c>
      <c r="D429" s="19">
        <v>45747</v>
      </c>
      <c r="E429" s="7">
        <v>11</v>
      </c>
      <c r="F429" s="29">
        <v>224092</v>
      </c>
      <c r="G429" s="29">
        <v>206356.41619848862</v>
      </c>
      <c r="H429" s="29">
        <v>276656.7901234568</v>
      </c>
      <c r="I429" s="7">
        <v>81</v>
      </c>
      <c r="J429" s="7" t="s">
        <v>60</v>
      </c>
      <c r="K429" s="7">
        <v>755</v>
      </c>
      <c r="L429" s="7">
        <v>16</v>
      </c>
      <c r="M429" s="7" t="s">
        <v>59</v>
      </c>
      <c r="N429" s="10">
        <v>7.7945434364807123E-2</v>
      </c>
      <c r="O429" s="7">
        <v>0.12</v>
      </c>
      <c r="P429" s="7">
        <v>0.26</v>
      </c>
      <c r="R429" s="30">
        <f t="shared" si="53"/>
        <v>582.63920000000007</v>
      </c>
      <c r="S429" s="7" t="str">
        <f t="shared" si="48"/>
        <v>80-85</v>
      </c>
      <c r="T429" s="7" t="str">
        <f t="shared" si="49"/>
        <v>750-800</v>
      </c>
      <c r="U429" s="31">
        <f t="shared" si="50"/>
        <v>0.02</v>
      </c>
      <c r="V429" s="30">
        <f t="shared" si="51"/>
        <v>26000.908441009567</v>
      </c>
      <c r="W429" s="30">
        <f t="shared" si="52"/>
        <v>-18484.034596525191</v>
      </c>
      <c r="X429" s="30">
        <f t="shared" si="54"/>
        <v>0</v>
      </c>
      <c r="Y429" s="30">
        <f t="shared" si="55"/>
        <v>0</v>
      </c>
    </row>
    <row r="430" spans="1:25" x14ac:dyDescent="0.15">
      <c r="A430" s="7">
        <v>1426</v>
      </c>
      <c r="B430" s="19">
        <v>45298</v>
      </c>
      <c r="C430" s="7">
        <v>360</v>
      </c>
      <c r="D430" s="19">
        <v>45747</v>
      </c>
      <c r="E430" s="7">
        <v>14</v>
      </c>
      <c r="F430" s="29">
        <v>741287</v>
      </c>
      <c r="G430" s="29">
        <v>683271.52932689944</v>
      </c>
      <c r="H430" s="29">
        <v>823652.22222222225</v>
      </c>
      <c r="I430" s="7">
        <v>90</v>
      </c>
      <c r="J430" s="7" t="s">
        <v>60</v>
      </c>
      <c r="K430" s="7">
        <v>783</v>
      </c>
      <c r="L430" s="7">
        <v>16</v>
      </c>
      <c r="M430" s="7" t="s">
        <v>59</v>
      </c>
      <c r="N430" s="10">
        <v>5.359778043576565E-2</v>
      </c>
      <c r="O430" s="7">
        <v>0.25</v>
      </c>
      <c r="P430" s="7">
        <v>0.44</v>
      </c>
      <c r="R430" s="30">
        <f t="shared" si="53"/>
        <v>3261.6628000000001</v>
      </c>
      <c r="S430" s="7" t="str">
        <f t="shared" si="48"/>
        <v>85-90</v>
      </c>
      <c r="T430" s="7" t="str">
        <f t="shared" si="49"/>
        <v>750-800</v>
      </c>
      <c r="U430" s="31">
        <f t="shared" si="50"/>
        <v>0.02</v>
      </c>
      <c r="V430" s="30">
        <f t="shared" si="51"/>
        <v>179358.77644831111</v>
      </c>
      <c r="W430" s="30">
        <f t="shared" si="52"/>
        <v>17330.716904355562</v>
      </c>
      <c r="X430" s="30">
        <f t="shared" si="54"/>
        <v>17330.716904355562</v>
      </c>
      <c r="Y430" s="30">
        <f t="shared" si="55"/>
        <v>346.61433808711126</v>
      </c>
    </row>
    <row r="431" spans="1:25" x14ac:dyDescent="0.15">
      <c r="A431" s="7">
        <v>1427</v>
      </c>
      <c r="B431" s="19">
        <v>45414</v>
      </c>
      <c r="C431" s="7">
        <v>360</v>
      </c>
      <c r="D431" s="19">
        <v>45747</v>
      </c>
      <c r="E431" s="7">
        <v>10</v>
      </c>
      <c r="F431" s="29">
        <v>183178</v>
      </c>
      <c r="G431" s="29">
        <v>171793.6792599172</v>
      </c>
      <c r="H431" s="29">
        <v>220696.38554216869</v>
      </c>
      <c r="I431" s="7">
        <v>83</v>
      </c>
      <c r="J431" s="7" t="s">
        <v>69</v>
      </c>
      <c r="K431" s="7">
        <v>624</v>
      </c>
      <c r="L431" s="7">
        <v>13</v>
      </c>
      <c r="M431" s="7" t="s">
        <v>59</v>
      </c>
      <c r="N431" s="10">
        <v>6.3385755393698756E-2</v>
      </c>
      <c r="O431" s="7">
        <v>0.12</v>
      </c>
      <c r="P431" s="7">
        <v>0.26</v>
      </c>
      <c r="R431" s="30">
        <f t="shared" si="53"/>
        <v>476.26279999999997</v>
      </c>
      <c r="S431" s="7" t="str">
        <f t="shared" si="48"/>
        <v>80-85</v>
      </c>
      <c r="T431" s="7" t="str">
        <f t="shared" si="49"/>
        <v>&lt; 650</v>
      </c>
      <c r="U431" s="31">
        <f t="shared" si="50"/>
        <v>0.04</v>
      </c>
      <c r="V431" s="30">
        <f t="shared" si="51"/>
        <v>21646.003586749568</v>
      </c>
      <c r="W431" s="30">
        <f t="shared" si="52"/>
        <v>-7208.5644879303291</v>
      </c>
      <c r="X431" s="30">
        <f t="shared" si="54"/>
        <v>0</v>
      </c>
      <c r="Y431" s="30">
        <f t="shared" si="55"/>
        <v>0</v>
      </c>
    </row>
    <row r="432" spans="1:25" x14ac:dyDescent="0.15">
      <c r="A432" s="7">
        <v>1428</v>
      </c>
      <c r="B432" s="19">
        <v>45293</v>
      </c>
      <c r="C432" s="7">
        <v>360</v>
      </c>
      <c r="D432" s="19">
        <v>45747</v>
      </c>
      <c r="E432" s="7">
        <v>14</v>
      </c>
      <c r="F432" s="29">
        <v>385772</v>
      </c>
      <c r="G432" s="29">
        <v>347897.30220932327</v>
      </c>
      <c r="H432" s="29">
        <v>438377.27272727271</v>
      </c>
      <c r="I432" s="7">
        <v>88</v>
      </c>
      <c r="J432" s="7" t="s">
        <v>65</v>
      </c>
      <c r="K432" s="7">
        <v>761</v>
      </c>
      <c r="L432" s="7">
        <v>34</v>
      </c>
      <c r="M432" s="7" t="s">
        <v>59</v>
      </c>
      <c r="N432" s="10">
        <v>7.5301232399686738E-2</v>
      </c>
      <c r="O432" s="7">
        <v>0.12</v>
      </c>
      <c r="P432" s="7">
        <v>0.44</v>
      </c>
      <c r="R432" s="30">
        <f t="shared" si="53"/>
        <v>1697.3968</v>
      </c>
      <c r="S432" s="7" t="str">
        <f t="shared" si="48"/>
        <v>85-90</v>
      </c>
      <c r="T432" s="7" t="str">
        <f t="shared" si="49"/>
        <v>750-800</v>
      </c>
      <c r="U432" s="31">
        <f t="shared" si="50"/>
        <v>0.02</v>
      </c>
      <c r="V432" s="30">
        <f t="shared" si="51"/>
        <v>43835.060078374736</v>
      </c>
      <c r="W432" s="30">
        <f t="shared" si="52"/>
        <v>-7328.5144983922946</v>
      </c>
      <c r="X432" s="30">
        <f t="shared" si="54"/>
        <v>0</v>
      </c>
      <c r="Y432" s="30">
        <f t="shared" si="55"/>
        <v>0</v>
      </c>
    </row>
    <row r="433" spans="1:25" x14ac:dyDescent="0.15">
      <c r="A433" s="7">
        <v>1429</v>
      </c>
      <c r="B433" s="19">
        <v>45397</v>
      </c>
      <c r="C433" s="7">
        <v>360</v>
      </c>
      <c r="D433" s="19">
        <v>45747</v>
      </c>
      <c r="E433" s="7">
        <v>11</v>
      </c>
      <c r="F433" s="29">
        <v>313163</v>
      </c>
      <c r="G433" s="29">
        <v>288336.76520077925</v>
      </c>
      <c r="H433" s="29">
        <v>355867.04545454547</v>
      </c>
      <c r="I433" s="7">
        <v>88</v>
      </c>
      <c r="J433" s="7" t="s">
        <v>73</v>
      </c>
      <c r="K433" s="7">
        <v>743</v>
      </c>
      <c r="L433" s="7">
        <v>6</v>
      </c>
      <c r="M433" s="7" t="s">
        <v>59</v>
      </c>
      <c r="N433" s="10">
        <v>7.8118170344036272E-2</v>
      </c>
      <c r="O433" s="7">
        <v>0.12</v>
      </c>
      <c r="P433" s="7">
        <v>0.43</v>
      </c>
      <c r="R433" s="30">
        <f t="shared" si="53"/>
        <v>1346.6008999999999</v>
      </c>
      <c r="S433" s="7" t="str">
        <f t="shared" si="48"/>
        <v>85-90</v>
      </c>
      <c r="T433" s="7" t="str">
        <f t="shared" si="49"/>
        <v>700-750</v>
      </c>
      <c r="U433" s="31">
        <f t="shared" si="50"/>
        <v>0.03</v>
      </c>
      <c r="V433" s="30">
        <f t="shared" si="51"/>
        <v>36330.432415298186</v>
      </c>
      <c r="W433" s="30">
        <f t="shared" si="52"/>
        <v>266.61482445459114</v>
      </c>
      <c r="X433" s="30">
        <f t="shared" si="54"/>
        <v>266.61482445459114</v>
      </c>
      <c r="Y433" s="30">
        <f t="shared" si="55"/>
        <v>7.9984447336377338</v>
      </c>
    </row>
    <row r="434" spans="1:25" x14ac:dyDescent="0.15">
      <c r="A434" s="7">
        <v>1430</v>
      </c>
      <c r="B434" s="19">
        <v>45370</v>
      </c>
      <c r="C434" s="7">
        <v>360</v>
      </c>
      <c r="D434" s="19">
        <v>45747</v>
      </c>
      <c r="E434" s="7">
        <v>12</v>
      </c>
      <c r="F434" s="29">
        <v>411057</v>
      </c>
      <c r="G434" s="29">
        <v>376667.49778994831</v>
      </c>
      <c r="H434" s="29">
        <v>432691.57894736843</v>
      </c>
      <c r="I434" s="7">
        <v>95</v>
      </c>
      <c r="J434" s="7" t="s">
        <v>67</v>
      </c>
      <c r="K434" s="7">
        <v>841</v>
      </c>
      <c r="L434" s="7">
        <v>32</v>
      </c>
      <c r="M434" s="7" t="s">
        <v>59</v>
      </c>
      <c r="N434" s="10">
        <v>7.4702173400962094E-2</v>
      </c>
      <c r="O434" s="7">
        <v>0.3</v>
      </c>
      <c r="P434" s="7">
        <v>0.28000000000000003</v>
      </c>
      <c r="R434" s="30">
        <f t="shared" si="53"/>
        <v>1150.9596000000001</v>
      </c>
      <c r="S434" s="7" t="str">
        <f t="shared" si="48"/>
        <v>90-95</v>
      </c>
      <c r="T434" s="7" t="str">
        <f t="shared" si="49"/>
        <v>&gt; 800</v>
      </c>
      <c r="U434" s="31">
        <f t="shared" si="50"/>
        <v>0.04</v>
      </c>
      <c r="V434" s="30">
        <f t="shared" si="51"/>
        <v>118650.26180383371</v>
      </c>
      <c r="W434" s="30">
        <f t="shared" si="52"/>
        <v>27713.030574182572</v>
      </c>
      <c r="X434" s="30">
        <f t="shared" si="54"/>
        <v>27713.030574182572</v>
      </c>
      <c r="Y434" s="30">
        <f t="shared" si="55"/>
        <v>1108.5212229673029</v>
      </c>
    </row>
    <row r="435" spans="1:25" x14ac:dyDescent="0.15">
      <c r="A435" s="7">
        <v>1431</v>
      </c>
      <c r="B435" s="19">
        <v>45473</v>
      </c>
      <c r="C435" s="7">
        <v>360</v>
      </c>
      <c r="D435" s="19">
        <v>45747</v>
      </c>
      <c r="E435" s="7">
        <v>9</v>
      </c>
      <c r="F435" s="29">
        <v>300548</v>
      </c>
      <c r="G435" s="29">
        <v>280796.32554226398</v>
      </c>
      <c r="H435" s="29">
        <v>353585.8823529412</v>
      </c>
      <c r="I435" s="7">
        <v>85</v>
      </c>
      <c r="J435" s="7" t="s">
        <v>70</v>
      </c>
      <c r="K435" s="7">
        <v>730</v>
      </c>
      <c r="L435" s="7">
        <v>29</v>
      </c>
      <c r="M435" s="7" t="s">
        <v>59</v>
      </c>
      <c r="N435" s="10">
        <v>7.9489606741665247E-2</v>
      </c>
      <c r="O435" s="7">
        <v>0.12</v>
      </c>
      <c r="P435" s="7">
        <v>0.35</v>
      </c>
      <c r="R435" s="30">
        <f t="shared" si="53"/>
        <v>1051.9179999999999</v>
      </c>
      <c r="S435" s="7" t="str">
        <f t="shared" si="48"/>
        <v>80-85</v>
      </c>
      <c r="T435" s="7" t="str">
        <f t="shared" si="49"/>
        <v>700-750</v>
      </c>
      <c r="U435" s="31">
        <f t="shared" si="50"/>
        <v>2.5000000000000001E-2</v>
      </c>
      <c r="V435" s="30">
        <f t="shared" si="51"/>
        <v>35380.337018325263</v>
      </c>
      <c r="W435" s="30">
        <f t="shared" si="52"/>
        <v>-5711.858180622803</v>
      </c>
      <c r="X435" s="30">
        <f t="shared" si="54"/>
        <v>0</v>
      </c>
      <c r="Y435" s="30">
        <f t="shared" si="55"/>
        <v>0</v>
      </c>
    </row>
    <row r="436" spans="1:25" x14ac:dyDescent="0.15">
      <c r="A436" s="7">
        <v>1432</v>
      </c>
      <c r="B436" s="19">
        <v>45387</v>
      </c>
      <c r="C436" s="7">
        <v>360</v>
      </c>
      <c r="D436" s="19">
        <v>45747</v>
      </c>
      <c r="E436" s="7">
        <v>11</v>
      </c>
      <c r="F436" s="29">
        <v>372647</v>
      </c>
      <c r="G436" s="29">
        <v>349070.9871665067</v>
      </c>
      <c r="H436" s="29">
        <v>384172.1649484536</v>
      </c>
      <c r="I436" s="7">
        <v>97</v>
      </c>
      <c r="J436" s="7" t="s">
        <v>68</v>
      </c>
      <c r="K436" s="7">
        <v>661</v>
      </c>
      <c r="L436" s="7">
        <v>10</v>
      </c>
      <c r="M436" s="7" t="s">
        <v>59</v>
      </c>
      <c r="N436" s="10">
        <v>5.6169549317758402E-2</v>
      </c>
      <c r="O436" s="7">
        <v>0.35</v>
      </c>
      <c r="P436" s="7">
        <v>0.25</v>
      </c>
      <c r="R436" s="30">
        <f t="shared" si="53"/>
        <v>931.61749999999995</v>
      </c>
      <c r="S436" s="7" t="str">
        <f t="shared" si="48"/>
        <v>&gt; 95</v>
      </c>
      <c r="T436" s="7" t="str">
        <f t="shared" si="49"/>
        <v>650-700</v>
      </c>
      <c r="U436" s="31">
        <f t="shared" si="50"/>
        <v>0.08</v>
      </c>
      <c r="V436" s="30">
        <f t="shared" si="51"/>
        <v>128283.58778369121</v>
      </c>
      <c r="W436" s="30">
        <f t="shared" si="52"/>
        <v>39978.196318646544</v>
      </c>
      <c r="X436" s="30">
        <f t="shared" si="54"/>
        <v>39978.196318646544</v>
      </c>
      <c r="Y436" s="30">
        <f t="shared" si="55"/>
        <v>3198.2557054917233</v>
      </c>
    </row>
    <row r="437" spans="1:25" x14ac:dyDescent="0.15">
      <c r="A437" s="7">
        <v>1433</v>
      </c>
      <c r="B437" s="19">
        <v>45361</v>
      </c>
      <c r="C437" s="7">
        <v>360</v>
      </c>
      <c r="D437" s="19">
        <v>45747</v>
      </c>
      <c r="E437" s="7">
        <v>12</v>
      </c>
      <c r="F437" s="29">
        <v>796722</v>
      </c>
      <c r="G437" s="29">
        <v>732199.28873700788</v>
      </c>
      <c r="H437" s="29">
        <v>905365.90909090906</v>
      </c>
      <c r="I437" s="7">
        <v>88</v>
      </c>
      <c r="J437" s="7" t="s">
        <v>72</v>
      </c>
      <c r="K437" s="7">
        <v>814</v>
      </c>
      <c r="L437" s="7">
        <v>24</v>
      </c>
      <c r="M437" s="7" t="s">
        <v>59</v>
      </c>
      <c r="N437" s="10">
        <v>7.1421561018827989E-2</v>
      </c>
      <c r="O437" s="7">
        <v>0.12</v>
      </c>
      <c r="P437" s="7">
        <v>0.25</v>
      </c>
      <c r="R437" s="30">
        <f t="shared" si="53"/>
        <v>1991.8050000000001</v>
      </c>
      <c r="S437" s="7" t="str">
        <f t="shared" si="48"/>
        <v>85-90</v>
      </c>
      <c r="T437" s="7" t="str">
        <f t="shared" si="49"/>
        <v>&gt; 800</v>
      </c>
      <c r="U437" s="31">
        <f t="shared" si="50"/>
        <v>0.01</v>
      </c>
      <c r="V437" s="30">
        <f t="shared" si="51"/>
        <v>92257.110380862985</v>
      </c>
      <c r="W437" s="30">
        <f t="shared" si="52"/>
        <v>-751.76955341442954</v>
      </c>
      <c r="X437" s="30">
        <f t="shared" si="54"/>
        <v>0</v>
      </c>
      <c r="Y437" s="30">
        <f t="shared" si="55"/>
        <v>0</v>
      </c>
    </row>
    <row r="438" spans="1:25" x14ac:dyDescent="0.15">
      <c r="A438" s="7">
        <v>1434</v>
      </c>
      <c r="B438" s="19">
        <v>45307</v>
      </c>
      <c r="C438" s="7">
        <v>360</v>
      </c>
      <c r="D438" s="19">
        <v>45747</v>
      </c>
      <c r="E438" s="7">
        <v>14</v>
      </c>
      <c r="F438" s="29">
        <v>403697</v>
      </c>
      <c r="G438" s="29">
        <v>363749.18524993939</v>
      </c>
      <c r="H438" s="29">
        <v>420517.70833333337</v>
      </c>
      <c r="I438" s="7">
        <v>96</v>
      </c>
      <c r="J438" s="7" t="s">
        <v>72</v>
      </c>
      <c r="K438" s="7">
        <v>791</v>
      </c>
      <c r="L438" s="7">
        <v>39</v>
      </c>
      <c r="M438" s="7" t="s">
        <v>59</v>
      </c>
      <c r="N438" s="10">
        <v>7.6108564984166932E-2</v>
      </c>
      <c r="O438" s="7">
        <v>0.3</v>
      </c>
      <c r="P438" s="7">
        <v>0.28000000000000003</v>
      </c>
      <c r="R438" s="30">
        <f t="shared" si="53"/>
        <v>1130.3516</v>
      </c>
      <c r="S438" s="7" t="str">
        <f t="shared" si="48"/>
        <v>&gt; 95</v>
      </c>
      <c r="T438" s="7" t="str">
        <f t="shared" si="49"/>
        <v>750-800</v>
      </c>
      <c r="U438" s="31">
        <f t="shared" si="50"/>
        <v>0.06</v>
      </c>
      <c r="V438" s="30">
        <f t="shared" si="51"/>
        <v>114580.9933537309</v>
      </c>
      <c r="W438" s="30">
        <f t="shared" si="52"/>
        <v>24496.592429102981</v>
      </c>
      <c r="X438" s="30">
        <f t="shared" si="54"/>
        <v>24496.592429102981</v>
      </c>
      <c r="Y438" s="30">
        <f t="shared" si="55"/>
        <v>1469.7955457461787</v>
      </c>
    </row>
    <row r="439" spans="1:25" x14ac:dyDescent="0.15">
      <c r="A439" s="7">
        <v>1435</v>
      </c>
      <c r="B439" s="19">
        <v>45337</v>
      </c>
      <c r="C439" s="7">
        <v>360</v>
      </c>
      <c r="D439" s="19">
        <v>45747</v>
      </c>
      <c r="E439" s="7">
        <v>13</v>
      </c>
      <c r="F439" s="29">
        <v>758726</v>
      </c>
      <c r="G439" s="29">
        <v>697169.73123415094</v>
      </c>
      <c r="H439" s="29">
        <v>807155.31914893619</v>
      </c>
      <c r="I439" s="7">
        <v>94</v>
      </c>
      <c r="J439" s="7" t="s">
        <v>62</v>
      </c>
      <c r="K439" s="7">
        <v>845</v>
      </c>
      <c r="L439" s="7">
        <v>2</v>
      </c>
      <c r="M439" s="7" t="s">
        <v>59</v>
      </c>
      <c r="N439" s="10">
        <v>6.3782934786009465E-2</v>
      </c>
      <c r="O439" s="7">
        <v>0.25</v>
      </c>
      <c r="P439" s="7">
        <v>0.31</v>
      </c>
      <c r="R439" s="30">
        <f t="shared" si="53"/>
        <v>2352.0506</v>
      </c>
      <c r="S439" s="7" t="str">
        <f t="shared" si="48"/>
        <v>90-95</v>
      </c>
      <c r="T439" s="7" t="str">
        <f t="shared" si="49"/>
        <v>&gt; 800</v>
      </c>
      <c r="U439" s="31">
        <f t="shared" si="50"/>
        <v>0.04</v>
      </c>
      <c r="V439" s="30">
        <f t="shared" si="51"/>
        <v>183007.05444896463</v>
      </c>
      <c r="W439" s="30">
        <f t="shared" si="52"/>
        <v>45946.196519262739</v>
      </c>
      <c r="X439" s="30">
        <f t="shared" si="54"/>
        <v>45946.196519262739</v>
      </c>
      <c r="Y439" s="30">
        <f t="shared" si="55"/>
        <v>1837.8478607705097</v>
      </c>
    </row>
    <row r="440" spans="1:25" x14ac:dyDescent="0.15">
      <c r="A440" s="7">
        <v>1436</v>
      </c>
      <c r="B440" s="19">
        <v>45380</v>
      </c>
      <c r="C440" s="7">
        <v>360</v>
      </c>
      <c r="D440" s="19">
        <v>45747</v>
      </c>
      <c r="E440" s="7">
        <v>12</v>
      </c>
      <c r="F440" s="29">
        <v>218843</v>
      </c>
      <c r="G440" s="29">
        <v>201399.54447656989</v>
      </c>
      <c r="H440" s="29">
        <v>263666.26506024098</v>
      </c>
      <c r="I440" s="7">
        <v>83</v>
      </c>
      <c r="J440" s="7" t="s">
        <v>74</v>
      </c>
      <c r="K440" s="7">
        <v>677</v>
      </c>
      <c r="L440" s="7">
        <v>9</v>
      </c>
      <c r="M440" s="7" t="s">
        <v>59</v>
      </c>
      <c r="N440" s="10">
        <v>6.9840284721382415E-2</v>
      </c>
      <c r="O440" s="7">
        <v>0.12</v>
      </c>
      <c r="P440" s="7">
        <v>0.41</v>
      </c>
      <c r="R440" s="30">
        <f t="shared" si="53"/>
        <v>897.2562999999999</v>
      </c>
      <c r="S440" s="7" t="str">
        <f t="shared" si="48"/>
        <v>80-85</v>
      </c>
      <c r="T440" s="7" t="str">
        <f t="shared" si="49"/>
        <v>650-700</v>
      </c>
      <c r="U440" s="31">
        <f t="shared" si="50"/>
        <v>0.03</v>
      </c>
      <c r="V440" s="30">
        <f t="shared" si="51"/>
        <v>25376.342604047804</v>
      </c>
      <c r="W440" s="30">
        <f t="shared" si="52"/>
        <v>-12646.803600806452</v>
      </c>
      <c r="X440" s="30">
        <f t="shared" si="54"/>
        <v>0</v>
      </c>
      <c r="Y440" s="30">
        <f t="shared" si="55"/>
        <v>0</v>
      </c>
    </row>
    <row r="441" spans="1:25" x14ac:dyDescent="0.15">
      <c r="A441" s="7">
        <v>1437</v>
      </c>
      <c r="B441" s="19">
        <v>45331</v>
      </c>
      <c r="C441" s="7">
        <v>360</v>
      </c>
      <c r="D441" s="19">
        <v>45747</v>
      </c>
      <c r="E441" s="7">
        <v>13</v>
      </c>
      <c r="F441" s="29">
        <v>414673</v>
      </c>
      <c r="G441" s="29">
        <v>382936.00927892281</v>
      </c>
      <c r="H441" s="29">
        <v>427497.93814432994</v>
      </c>
      <c r="I441" s="7">
        <v>97</v>
      </c>
      <c r="J441" s="7" t="s">
        <v>68</v>
      </c>
      <c r="K441" s="7">
        <v>828</v>
      </c>
      <c r="L441" s="7">
        <v>4</v>
      </c>
      <c r="M441" s="7" t="s">
        <v>59</v>
      </c>
      <c r="N441" s="10">
        <v>5.8310314512882606E-2</v>
      </c>
      <c r="O441" s="7">
        <v>0.35</v>
      </c>
      <c r="P441" s="7">
        <v>0.3</v>
      </c>
      <c r="R441" s="30">
        <f t="shared" si="53"/>
        <v>1244.019</v>
      </c>
      <c r="S441" s="7" t="str">
        <f t="shared" si="48"/>
        <v>&gt; 95</v>
      </c>
      <c r="T441" s="7" t="str">
        <f t="shared" si="49"/>
        <v>&gt; 800</v>
      </c>
      <c r="U441" s="31">
        <f t="shared" si="50"/>
        <v>0.05</v>
      </c>
      <c r="V441" s="30">
        <f t="shared" si="51"/>
        <v>140728.98341000412</v>
      </c>
      <c r="W441" s="30">
        <f t="shared" si="52"/>
        <v>38709.562320188503</v>
      </c>
      <c r="X441" s="30">
        <f t="shared" si="54"/>
        <v>38709.562320188503</v>
      </c>
      <c r="Y441" s="30">
        <f t="shared" si="55"/>
        <v>1935.4781160094253</v>
      </c>
    </row>
    <row r="442" spans="1:25" x14ac:dyDescent="0.15">
      <c r="A442" s="7">
        <v>1438</v>
      </c>
      <c r="B442" s="19">
        <v>45420</v>
      </c>
      <c r="C442" s="7">
        <v>360</v>
      </c>
      <c r="D442" s="19">
        <v>45747</v>
      </c>
      <c r="E442" s="7">
        <v>10</v>
      </c>
      <c r="F442" s="29">
        <v>359742</v>
      </c>
      <c r="G442" s="29">
        <v>340092.61440277676</v>
      </c>
      <c r="H442" s="29">
        <v>386819.35483870964</v>
      </c>
      <c r="I442" s="7">
        <v>93</v>
      </c>
      <c r="J442" s="7" t="s">
        <v>73</v>
      </c>
      <c r="K442" s="7">
        <v>633</v>
      </c>
      <c r="L442" s="7">
        <v>32</v>
      </c>
      <c r="M442" s="7" t="s">
        <v>59</v>
      </c>
      <c r="N442" s="10">
        <v>5.1529454937886993E-2</v>
      </c>
      <c r="O442" s="7">
        <v>0.25</v>
      </c>
      <c r="P442" s="7">
        <v>0.32</v>
      </c>
      <c r="R442" s="30">
        <f t="shared" si="53"/>
        <v>1151.1744000000001</v>
      </c>
      <c r="S442" s="7" t="str">
        <f t="shared" si="48"/>
        <v>90-95</v>
      </c>
      <c r="T442" s="7" t="str">
        <f t="shared" si="49"/>
        <v>&lt; 650</v>
      </c>
      <c r="U442" s="31">
        <f t="shared" si="50"/>
        <v>0.08</v>
      </c>
      <c r="V442" s="30">
        <f t="shared" si="51"/>
        <v>89274.3112807289</v>
      </c>
      <c r="W442" s="30">
        <f t="shared" si="52"/>
        <v>28300.793510012387</v>
      </c>
      <c r="X442" s="30">
        <f t="shared" si="54"/>
        <v>28300.793510012387</v>
      </c>
      <c r="Y442" s="30">
        <f t="shared" si="55"/>
        <v>2264.0634808009909</v>
      </c>
    </row>
    <row r="443" spans="1:25" x14ac:dyDescent="0.15">
      <c r="A443" s="7">
        <v>1439</v>
      </c>
      <c r="B443" s="19">
        <v>45355</v>
      </c>
      <c r="C443" s="7">
        <v>360</v>
      </c>
      <c r="D443" s="19">
        <v>45747</v>
      </c>
      <c r="E443" s="7">
        <v>12</v>
      </c>
      <c r="F443" s="29">
        <v>515757</v>
      </c>
      <c r="G443" s="29">
        <v>476477.63648328453</v>
      </c>
      <c r="H443" s="29">
        <v>606772.9411764706</v>
      </c>
      <c r="I443" s="7">
        <v>85</v>
      </c>
      <c r="J443" s="7" t="s">
        <v>69</v>
      </c>
      <c r="K443" s="7">
        <v>825</v>
      </c>
      <c r="L443" s="7">
        <v>21</v>
      </c>
      <c r="M443" s="7" t="s">
        <v>59</v>
      </c>
      <c r="N443" s="10">
        <v>6.5393109613490902E-2</v>
      </c>
      <c r="O443" s="7">
        <v>0.12</v>
      </c>
      <c r="P443" s="7">
        <v>0.31</v>
      </c>
      <c r="R443" s="30">
        <f t="shared" si="53"/>
        <v>1598.8467000000001</v>
      </c>
      <c r="S443" s="7" t="str">
        <f t="shared" si="48"/>
        <v>80-85</v>
      </c>
      <c r="T443" s="7" t="str">
        <f t="shared" si="49"/>
        <v>&gt; 800</v>
      </c>
      <c r="U443" s="31">
        <f t="shared" si="50"/>
        <v>0.01</v>
      </c>
      <c r="V443" s="30">
        <f t="shared" si="51"/>
        <v>60036.182196893853</v>
      </c>
      <c r="W443" s="30">
        <f t="shared" si="52"/>
        <v>-15455.481692551228</v>
      </c>
      <c r="X443" s="30">
        <f t="shared" si="54"/>
        <v>0</v>
      </c>
      <c r="Y443" s="30">
        <f t="shared" si="55"/>
        <v>0</v>
      </c>
    </row>
    <row r="444" spans="1:25" x14ac:dyDescent="0.15">
      <c r="A444" s="7">
        <v>1440</v>
      </c>
      <c r="B444" s="19">
        <v>45296</v>
      </c>
      <c r="C444" s="7">
        <v>360</v>
      </c>
      <c r="D444" s="19">
        <v>45747</v>
      </c>
      <c r="E444" s="7">
        <v>14</v>
      </c>
      <c r="F444" s="29">
        <v>666020</v>
      </c>
      <c r="G444" s="29">
        <v>608075.53421677591</v>
      </c>
      <c r="H444" s="29">
        <v>723934.78260869568</v>
      </c>
      <c r="I444" s="7">
        <v>92</v>
      </c>
      <c r="J444" s="7" t="s">
        <v>70</v>
      </c>
      <c r="K444" s="7">
        <v>611</v>
      </c>
      <c r="L444" s="7">
        <v>32</v>
      </c>
      <c r="M444" s="7" t="s">
        <v>59</v>
      </c>
      <c r="N444" s="10">
        <v>6.3377613288823548E-2</v>
      </c>
      <c r="O444" s="7">
        <v>0.25</v>
      </c>
      <c r="P444" s="7">
        <v>0.37</v>
      </c>
      <c r="R444" s="30">
        <f t="shared" si="53"/>
        <v>2464.2739999999999</v>
      </c>
      <c r="S444" s="7" t="str">
        <f t="shared" si="48"/>
        <v>90-95</v>
      </c>
      <c r="T444" s="7" t="str">
        <f t="shared" si="49"/>
        <v>&lt; 650</v>
      </c>
      <c r="U444" s="31">
        <f t="shared" si="50"/>
        <v>0.08</v>
      </c>
      <c r="V444" s="30">
        <f t="shared" si="51"/>
        <v>159619.82773190367</v>
      </c>
      <c r="W444" s="30">
        <f t="shared" si="52"/>
        <v>23134.745710223331</v>
      </c>
      <c r="X444" s="30">
        <f t="shared" si="54"/>
        <v>23134.745710223331</v>
      </c>
      <c r="Y444" s="30">
        <f t="shared" si="55"/>
        <v>1850.7796568178665</v>
      </c>
    </row>
    <row r="445" spans="1:25" x14ac:dyDescent="0.15">
      <c r="A445" s="7">
        <v>1441</v>
      </c>
      <c r="B445" s="19">
        <v>45335</v>
      </c>
      <c r="C445" s="7">
        <v>360</v>
      </c>
      <c r="D445" s="19">
        <v>45747</v>
      </c>
      <c r="E445" s="7">
        <v>13</v>
      </c>
      <c r="F445" s="29">
        <v>264670</v>
      </c>
      <c r="G445" s="29">
        <v>242389.88075338906</v>
      </c>
      <c r="H445" s="29">
        <v>311376.4705882353</v>
      </c>
      <c r="I445" s="7">
        <v>85</v>
      </c>
      <c r="J445" s="7" t="s">
        <v>67</v>
      </c>
      <c r="K445" s="7">
        <v>716</v>
      </c>
      <c r="L445" s="7">
        <v>27</v>
      </c>
      <c r="M445" s="7" t="s">
        <v>59</v>
      </c>
      <c r="N445" s="10">
        <v>6.7341405568684842E-2</v>
      </c>
      <c r="O445" s="7">
        <v>0.12</v>
      </c>
      <c r="P445" s="7">
        <v>0.41</v>
      </c>
      <c r="R445" s="30">
        <f t="shared" si="53"/>
        <v>1085.1469999999999</v>
      </c>
      <c r="S445" s="7" t="str">
        <f t="shared" si="48"/>
        <v>80-85</v>
      </c>
      <c r="T445" s="7" t="str">
        <f t="shared" si="49"/>
        <v>700-750</v>
      </c>
      <c r="U445" s="31">
        <f t="shared" si="50"/>
        <v>2.5000000000000001E-2</v>
      </c>
      <c r="V445" s="30">
        <f t="shared" si="51"/>
        <v>30541.124974927025</v>
      </c>
      <c r="W445" s="30">
        <f t="shared" si="52"/>
        <v>-10160.625208941463</v>
      </c>
      <c r="X445" s="30">
        <f t="shared" si="54"/>
        <v>0</v>
      </c>
      <c r="Y445" s="30">
        <f t="shared" si="55"/>
        <v>0</v>
      </c>
    </row>
    <row r="446" spans="1:25" x14ac:dyDescent="0.15">
      <c r="A446" s="7">
        <v>1442</v>
      </c>
      <c r="B446" s="19">
        <v>45390</v>
      </c>
      <c r="C446" s="7">
        <v>360</v>
      </c>
      <c r="D446" s="19">
        <v>45747</v>
      </c>
      <c r="E446" s="7">
        <v>11</v>
      </c>
      <c r="F446" s="29">
        <v>773416</v>
      </c>
      <c r="G446" s="29">
        <v>726055.69867563853</v>
      </c>
      <c r="H446" s="29">
        <v>878881.81818181823</v>
      </c>
      <c r="I446" s="7">
        <v>88</v>
      </c>
      <c r="J446" s="7" t="s">
        <v>69</v>
      </c>
      <c r="K446" s="7">
        <v>815</v>
      </c>
      <c r="L446" s="7">
        <v>33</v>
      </c>
      <c r="M446" s="7" t="s">
        <v>59</v>
      </c>
      <c r="N446" s="10">
        <v>5.3221963966547499E-2</v>
      </c>
      <c r="O446" s="7">
        <v>0.12</v>
      </c>
      <c r="P446" s="7">
        <v>0.21</v>
      </c>
      <c r="R446" s="30">
        <f t="shared" si="53"/>
        <v>1624.1735999999999</v>
      </c>
      <c r="S446" s="7" t="str">
        <f t="shared" si="48"/>
        <v>85-90</v>
      </c>
      <c r="T446" s="7" t="str">
        <f t="shared" si="49"/>
        <v>&gt; 800</v>
      </c>
      <c r="U446" s="31">
        <f t="shared" si="50"/>
        <v>0.01</v>
      </c>
      <c r="V446" s="30">
        <f t="shared" si="51"/>
        <v>91483.018033130458</v>
      </c>
      <c r="W446" s="30">
        <f t="shared" si="52"/>
        <v>15308.938154874952</v>
      </c>
      <c r="X446" s="30">
        <f t="shared" si="54"/>
        <v>15308.938154874952</v>
      </c>
      <c r="Y446" s="30">
        <f t="shared" si="55"/>
        <v>153.08938154874951</v>
      </c>
    </row>
    <row r="447" spans="1:25" x14ac:dyDescent="0.15">
      <c r="A447" s="7">
        <v>1443</v>
      </c>
      <c r="B447" s="19">
        <v>45365</v>
      </c>
      <c r="C447" s="7">
        <v>360</v>
      </c>
      <c r="D447" s="19">
        <v>45747</v>
      </c>
      <c r="E447" s="7">
        <v>12</v>
      </c>
      <c r="F447" s="29">
        <v>129762</v>
      </c>
      <c r="G447" s="29">
        <v>119128.28162823641</v>
      </c>
      <c r="H447" s="29">
        <v>135168.75</v>
      </c>
      <c r="I447" s="7">
        <v>96</v>
      </c>
      <c r="J447" s="7" t="s">
        <v>67</v>
      </c>
      <c r="K447" s="7">
        <v>654</v>
      </c>
      <c r="L447" s="7">
        <v>45</v>
      </c>
      <c r="M447" s="7" t="s">
        <v>59</v>
      </c>
      <c r="N447" s="10">
        <v>7.2606507898373071E-2</v>
      </c>
      <c r="O447" s="7">
        <v>0.3</v>
      </c>
      <c r="P447" s="7">
        <v>0.43</v>
      </c>
      <c r="R447" s="30">
        <f t="shared" si="53"/>
        <v>557.97659999999996</v>
      </c>
      <c r="S447" s="7" t="str">
        <f t="shared" si="48"/>
        <v>&gt; 95</v>
      </c>
      <c r="T447" s="7" t="str">
        <f t="shared" si="49"/>
        <v>650-700</v>
      </c>
      <c r="U447" s="31">
        <f t="shared" si="50"/>
        <v>0.08</v>
      </c>
      <c r="V447" s="30">
        <f t="shared" si="51"/>
        <v>37525.408712894467</v>
      </c>
      <c r="W447" s="30">
        <f t="shared" si="52"/>
        <v>10191.258209648237</v>
      </c>
      <c r="X447" s="30">
        <f t="shared" si="54"/>
        <v>10191.258209648237</v>
      </c>
      <c r="Y447" s="30">
        <f t="shared" si="55"/>
        <v>815.30065677185894</v>
      </c>
    </row>
    <row r="448" spans="1:25" x14ac:dyDescent="0.15">
      <c r="A448" s="7">
        <v>1444</v>
      </c>
      <c r="B448" s="19">
        <v>45358</v>
      </c>
      <c r="C448" s="7">
        <v>360</v>
      </c>
      <c r="D448" s="19">
        <v>45747</v>
      </c>
      <c r="E448" s="7">
        <v>12</v>
      </c>
      <c r="F448" s="29">
        <v>322031</v>
      </c>
      <c r="G448" s="29">
        <v>295176.01700990973</v>
      </c>
      <c r="H448" s="29">
        <v>378860</v>
      </c>
      <c r="I448" s="7">
        <v>85</v>
      </c>
      <c r="J448" s="7" t="s">
        <v>66</v>
      </c>
      <c r="K448" s="7">
        <v>816</v>
      </c>
      <c r="L448" s="7">
        <v>50</v>
      </c>
      <c r="M448" s="7" t="s">
        <v>59</v>
      </c>
      <c r="N448" s="10">
        <v>7.4374711170438076E-2</v>
      </c>
      <c r="O448" s="7">
        <v>0.12</v>
      </c>
      <c r="P448" s="7">
        <v>0.32</v>
      </c>
      <c r="R448" s="30">
        <f t="shared" si="53"/>
        <v>1030.4992</v>
      </c>
      <c r="S448" s="7" t="str">
        <f t="shared" si="48"/>
        <v>80-85</v>
      </c>
      <c r="T448" s="7" t="str">
        <f t="shared" si="49"/>
        <v>&gt; 800</v>
      </c>
      <c r="U448" s="31">
        <f t="shared" si="50"/>
        <v>0.01</v>
      </c>
      <c r="V448" s="30">
        <f t="shared" si="51"/>
        <v>37192.178143248631</v>
      </c>
      <c r="W448" s="30">
        <f t="shared" si="52"/>
        <v>-12096.182139594748</v>
      </c>
      <c r="X448" s="30">
        <f t="shared" si="54"/>
        <v>0</v>
      </c>
      <c r="Y448" s="30">
        <f t="shared" si="55"/>
        <v>0</v>
      </c>
    </row>
    <row r="449" spans="1:25" x14ac:dyDescent="0.15">
      <c r="A449" s="7">
        <v>1445</v>
      </c>
      <c r="B449" s="19">
        <v>45418</v>
      </c>
      <c r="C449" s="7">
        <v>360</v>
      </c>
      <c r="D449" s="19">
        <v>45747</v>
      </c>
      <c r="E449" s="7">
        <v>10</v>
      </c>
      <c r="F449" s="29">
        <v>238648</v>
      </c>
      <c r="G449" s="29">
        <v>222403.22743090056</v>
      </c>
      <c r="H449" s="29">
        <v>298310</v>
      </c>
      <c r="I449" s="7">
        <v>80</v>
      </c>
      <c r="J449" s="7" t="s">
        <v>74</v>
      </c>
      <c r="K449" s="7">
        <v>802</v>
      </c>
      <c r="L449" s="7">
        <v>33</v>
      </c>
      <c r="M449" s="7" t="s">
        <v>59</v>
      </c>
      <c r="N449" s="10">
        <v>7.2282275086781297E-2</v>
      </c>
      <c r="O449" s="7">
        <v>0.12</v>
      </c>
      <c r="P449" s="7">
        <v>0.38</v>
      </c>
      <c r="R449" s="30">
        <f t="shared" si="53"/>
        <v>906.86240000000009</v>
      </c>
      <c r="S449" s="7" t="str">
        <f t="shared" si="48"/>
        <v>80-85</v>
      </c>
      <c r="T449" s="7" t="str">
        <f t="shared" si="49"/>
        <v>&gt; 800</v>
      </c>
      <c r="U449" s="31">
        <f t="shared" si="50"/>
        <v>0.01</v>
      </c>
      <c r="V449" s="30">
        <f t="shared" si="51"/>
        <v>28022.806656293473</v>
      </c>
      <c r="W449" s="30">
        <f t="shared" si="52"/>
        <v>-20040.11119755439</v>
      </c>
      <c r="X449" s="30">
        <f t="shared" si="54"/>
        <v>0</v>
      </c>
      <c r="Y449" s="30">
        <f t="shared" si="55"/>
        <v>0</v>
      </c>
    </row>
    <row r="450" spans="1:25" x14ac:dyDescent="0.15">
      <c r="A450" s="7">
        <v>1446</v>
      </c>
      <c r="B450" s="19">
        <v>45374</v>
      </c>
      <c r="C450" s="7">
        <v>360</v>
      </c>
      <c r="D450" s="19">
        <v>45747</v>
      </c>
      <c r="E450" s="7">
        <v>12</v>
      </c>
      <c r="F450" s="29">
        <v>352322</v>
      </c>
      <c r="G450" s="29">
        <v>327281.0363164139</v>
      </c>
      <c r="H450" s="29">
        <v>378840.86021505372</v>
      </c>
      <c r="I450" s="7">
        <v>93</v>
      </c>
      <c r="J450" s="7" t="s">
        <v>68</v>
      </c>
      <c r="K450" s="7">
        <v>674</v>
      </c>
      <c r="L450" s="7">
        <v>47</v>
      </c>
      <c r="M450" s="7" t="s">
        <v>59</v>
      </c>
      <c r="N450" s="10">
        <v>5.8866734547136659E-2</v>
      </c>
      <c r="O450" s="7">
        <v>0.25</v>
      </c>
      <c r="P450" s="7">
        <v>0.2</v>
      </c>
      <c r="R450" s="30">
        <f t="shared" si="53"/>
        <v>704.64400000000012</v>
      </c>
      <c r="S450" s="7" t="str">
        <f t="shared" si="48"/>
        <v>90-95</v>
      </c>
      <c r="T450" s="7" t="str">
        <f t="shared" si="49"/>
        <v>650-700</v>
      </c>
      <c r="U450" s="31">
        <f t="shared" si="50"/>
        <v>7.0000000000000007E-2</v>
      </c>
      <c r="V450" s="30">
        <f t="shared" si="51"/>
        <v>85911.272033058645</v>
      </c>
      <c r="W450" s="30">
        <f t="shared" si="52"/>
        <v>21630.356949438923</v>
      </c>
      <c r="X450" s="30">
        <f t="shared" si="54"/>
        <v>21630.356949438923</v>
      </c>
      <c r="Y450" s="30">
        <f t="shared" si="55"/>
        <v>1514.1249864607248</v>
      </c>
    </row>
    <row r="451" spans="1:25" x14ac:dyDescent="0.15">
      <c r="A451" s="7">
        <v>1447</v>
      </c>
      <c r="B451" s="19">
        <v>45347</v>
      </c>
      <c r="C451" s="7">
        <v>360</v>
      </c>
      <c r="D451" s="19">
        <v>45747</v>
      </c>
      <c r="E451" s="7">
        <v>13</v>
      </c>
      <c r="F451" s="29">
        <v>404436</v>
      </c>
      <c r="G451" s="29">
        <v>367669.97938688629</v>
      </c>
      <c r="H451" s="29">
        <v>493214.63414634147</v>
      </c>
      <c r="I451" s="7">
        <v>82</v>
      </c>
      <c r="J451" s="7" t="s">
        <v>62</v>
      </c>
      <c r="K451" s="7">
        <v>823</v>
      </c>
      <c r="L451" s="7">
        <v>47</v>
      </c>
      <c r="M451" s="7" t="s">
        <v>59</v>
      </c>
      <c r="N451" s="10">
        <v>7.501011909711526E-2</v>
      </c>
      <c r="O451" s="7">
        <v>0.12</v>
      </c>
      <c r="P451" s="7">
        <v>0.38</v>
      </c>
      <c r="R451" s="30">
        <f t="shared" si="53"/>
        <v>1536.8568</v>
      </c>
      <c r="S451" s="7" t="str">
        <f t="shared" si="48"/>
        <v>80-85</v>
      </c>
      <c r="T451" s="7" t="str">
        <f t="shared" si="49"/>
        <v>&gt; 800</v>
      </c>
      <c r="U451" s="31">
        <f t="shared" si="50"/>
        <v>0.01</v>
      </c>
      <c r="V451" s="30">
        <f t="shared" si="51"/>
        <v>46326.417402747669</v>
      </c>
      <c r="W451" s="30">
        <f t="shared" si="52"/>
        <v>-33178.960668159649</v>
      </c>
      <c r="X451" s="30">
        <f t="shared" si="54"/>
        <v>0</v>
      </c>
      <c r="Y451" s="30">
        <f t="shared" si="55"/>
        <v>0</v>
      </c>
    </row>
    <row r="452" spans="1:25" x14ac:dyDescent="0.15">
      <c r="A452" s="7">
        <v>1448</v>
      </c>
      <c r="B452" s="19">
        <v>45305</v>
      </c>
      <c r="C452" s="7">
        <v>360</v>
      </c>
      <c r="D452" s="19">
        <v>45747</v>
      </c>
      <c r="E452" s="7">
        <v>14</v>
      </c>
      <c r="F452" s="29">
        <v>553091</v>
      </c>
      <c r="G452" s="29">
        <v>508818.9199994037</v>
      </c>
      <c r="H452" s="29">
        <v>682828.39506172831</v>
      </c>
      <c r="I452" s="7">
        <v>81</v>
      </c>
      <c r="J452" s="7" t="s">
        <v>69</v>
      </c>
      <c r="K452" s="7">
        <v>723</v>
      </c>
      <c r="L452" s="7">
        <v>28</v>
      </c>
      <c r="M452" s="7" t="s">
        <v>59</v>
      </c>
      <c r="N452" s="10">
        <v>5.5630134216379509E-2</v>
      </c>
      <c r="O452" s="7">
        <v>0.12</v>
      </c>
      <c r="P452" s="7">
        <v>0.36</v>
      </c>
      <c r="R452" s="30">
        <f t="shared" si="53"/>
        <v>1991.1275999999998</v>
      </c>
      <c r="S452" s="7" t="str">
        <f t="shared" si="48"/>
        <v>80-85</v>
      </c>
      <c r="T452" s="7" t="str">
        <f t="shared" si="49"/>
        <v>700-750</v>
      </c>
      <c r="U452" s="31">
        <f t="shared" si="50"/>
        <v>2.5000000000000001E-2</v>
      </c>
      <c r="V452" s="30">
        <f t="shared" si="51"/>
        <v>64111.183919924872</v>
      </c>
      <c r="W452" s="30">
        <f t="shared" si="52"/>
        <v>-46144.269803095143</v>
      </c>
      <c r="X452" s="30">
        <f t="shared" si="54"/>
        <v>0</v>
      </c>
      <c r="Y452" s="30">
        <f t="shared" si="55"/>
        <v>0</v>
      </c>
    </row>
    <row r="453" spans="1:25" x14ac:dyDescent="0.15">
      <c r="A453" s="7">
        <v>1449</v>
      </c>
      <c r="B453" s="19">
        <v>45400</v>
      </c>
      <c r="C453" s="7">
        <v>360</v>
      </c>
      <c r="D453" s="19">
        <v>45747</v>
      </c>
      <c r="E453" s="7">
        <v>11</v>
      </c>
      <c r="F453" s="29">
        <v>782717</v>
      </c>
      <c r="G453" s="29">
        <v>730891.88219678425</v>
      </c>
      <c r="H453" s="29">
        <v>832677.65957446815</v>
      </c>
      <c r="I453" s="7">
        <v>94</v>
      </c>
      <c r="J453" s="7" t="s">
        <v>67</v>
      </c>
      <c r="K453" s="7">
        <v>707</v>
      </c>
      <c r="L453" s="7">
        <v>3</v>
      </c>
      <c r="M453" s="7" t="s">
        <v>59</v>
      </c>
      <c r="N453" s="10">
        <v>6.0369107352569562E-2</v>
      </c>
      <c r="O453" s="7">
        <v>0.25</v>
      </c>
      <c r="P453" s="7">
        <v>0.26</v>
      </c>
      <c r="R453" s="30">
        <f t="shared" si="53"/>
        <v>2035.0642</v>
      </c>
      <c r="S453" s="7" t="str">
        <f t="shared" ref="S453:S504" si="56">_xlfn.IFS(I453&lt;80,"&lt; 80",AND(I453&gt;=80,I453&lt;=85),"80-85",AND(I453&gt;85,I453&lt;=90),"85-90",AND(I453&gt;90,I453&lt;=95),"90-95",I453&gt;95,"&gt; 95")</f>
        <v>90-95</v>
      </c>
      <c r="T453" s="7" t="str">
        <f t="shared" ref="T453:T504" si="57">_xlfn.IFS(K453&lt;650,"&lt; 650",AND(K453&gt;=650,K453&lt;=700),"650-700",AND(K453&gt;700,K453&lt;=750),"700-750",AND(K453&gt;750,K453&lt;=800),"750-800",K453&gt;800,"&gt; 800")</f>
        <v>700-750</v>
      </c>
      <c r="U453" s="31">
        <f t="shared" ref="U453:U504" si="58">INDEX(LTV_FICO_DefaultRates,MATCH(S453,LTV_DefaultTable,0),MATCH(T453,FICO_DefaultTabe,0))</f>
        <v>0.06</v>
      </c>
      <c r="V453" s="30">
        <f t="shared" ref="V453:V504" si="59">((G453*(1+Expense_Loading))*O453)</f>
        <v>191859.11907665589</v>
      </c>
      <c r="W453" s="30">
        <f t="shared" ref="W453:W504" si="60">(G453*(1+Expense_Loading))-(H453*(1+HPI_Movement))</f>
        <v>59660.465668325662</v>
      </c>
      <c r="X453" s="30">
        <f t="shared" si="54"/>
        <v>59660.465668325662</v>
      </c>
      <c r="Y453" s="30">
        <f t="shared" si="55"/>
        <v>3579.6279400995395</v>
      </c>
    </row>
    <row r="454" spans="1:25" x14ac:dyDescent="0.15">
      <c r="A454" s="7">
        <v>1450</v>
      </c>
      <c r="B454" s="19">
        <v>45302</v>
      </c>
      <c r="C454" s="7">
        <v>360</v>
      </c>
      <c r="D454" s="19">
        <v>45747</v>
      </c>
      <c r="E454" s="7">
        <v>14</v>
      </c>
      <c r="F454" s="29">
        <v>588961</v>
      </c>
      <c r="G454" s="29">
        <v>541796.32593270484</v>
      </c>
      <c r="H454" s="29">
        <v>626554.255319149</v>
      </c>
      <c r="I454" s="7">
        <v>94</v>
      </c>
      <c r="J454" s="7" t="s">
        <v>63</v>
      </c>
      <c r="K454" s="7">
        <v>695</v>
      </c>
      <c r="L454" s="7">
        <v>49</v>
      </c>
      <c r="M454" s="7" t="s">
        <v>59</v>
      </c>
      <c r="N454" s="10">
        <v>5.5671337325657939E-2</v>
      </c>
      <c r="O454" s="7">
        <v>0.25</v>
      </c>
      <c r="P454" s="7">
        <v>0.22</v>
      </c>
      <c r="R454" s="30">
        <f t="shared" ref="R454:R504" si="61">P454*F454/100</f>
        <v>1295.7141999999999</v>
      </c>
      <c r="S454" s="7" t="str">
        <f t="shared" si="56"/>
        <v>90-95</v>
      </c>
      <c r="T454" s="7" t="str">
        <f t="shared" si="57"/>
        <v>650-700</v>
      </c>
      <c r="U454" s="31">
        <f t="shared" si="58"/>
        <v>7.0000000000000007E-2</v>
      </c>
      <c r="V454" s="30">
        <f t="shared" si="59"/>
        <v>142221.53555733504</v>
      </c>
      <c r="W454" s="30">
        <f t="shared" si="60"/>
        <v>36315.02520806354</v>
      </c>
      <c r="X454" s="30">
        <f t="shared" ref="X454:X504" si="62">MAX(MIN(V454,W454),0)</f>
        <v>36315.02520806354</v>
      </c>
      <c r="Y454" s="30">
        <f t="shared" ref="Y454:Y504" si="63">X454*U454</f>
        <v>2542.0517645644481</v>
      </c>
    </row>
    <row r="455" spans="1:25" x14ac:dyDescent="0.15">
      <c r="A455" s="7">
        <v>1451</v>
      </c>
      <c r="B455" s="19">
        <v>45296</v>
      </c>
      <c r="C455" s="7">
        <v>360</v>
      </c>
      <c r="D455" s="19">
        <v>45747</v>
      </c>
      <c r="E455" s="7">
        <v>14</v>
      </c>
      <c r="F455" s="29">
        <v>494380</v>
      </c>
      <c r="G455" s="29">
        <v>455348.33112246427</v>
      </c>
      <c r="H455" s="29">
        <v>561795.45454545459</v>
      </c>
      <c r="I455" s="7">
        <v>88</v>
      </c>
      <c r="J455" s="7" t="s">
        <v>69</v>
      </c>
      <c r="K455" s="7">
        <v>625</v>
      </c>
      <c r="L455" s="7">
        <v>12</v>
      </c>
      <c r="M455" s="7" t="s">
        <v>59</v>
      </c>
      <c r="N455" s="10">
        <v>5.4384594594202709E-2</v>
      </c>
      <c r="O455" s="7">
        <v>0.12</v>
      </c>
      <c r="P455" s="7">
        <v>0.34</v>
      </c>
      <c r="R455" s="30">
        <f t="shared" si="61"/>
        <v>1680.8920000000001</v>
      </c>
      <c r="S455" s="7" t="str">
        <f t="shared" si="56"/>
        <v>85-90</v>
      </c>
      <c r="T455" s="7" t="str">
        <f t="shared" si="57"/>
        <v>&lt; 650</v>
      </c>
      <c r="U455" s="31">
        <f t="shared" si="58"/>
        <v>0.05</v>
      </c>
      <c r="V455" s="30">
        <f t="shared" si="59"/>
        <v>57373.889721430496</v>
      </c>
      <c r="W455" s="30">
        <f t="shared" si="60"/>
        <v>589.61131495109294</v>
      </c>
      <c r="X455" s="30">
        <f t="shared" si="62"/>
        <v>589.61131495109294</v>
      </c>
      <c r="Y455" s="30">
        <f t="shared" si="63"/>
        <v>29.48056574755465</v>
      </c>
    </row>
    <row r="456" spans="1:25" x14ac:dyDescent="0.15">
      <c r="A456" s="7">
        <v>1452</v>
      </c>
      <c r="B456" s="19">
        <v>45337</v>
      </c>
      <c r="C456" s="7">
        <v>360</v>
      </c>
      <c r="D456" s="19">
        <v>45747</v>
      </c>
      <c r="E456" s="7">
        <v>13</v>
      </c>
      <c r="F456" s="29">
        <v>767511</v>
      </c>
      <c r="G456" s="29">
        <v>713872.83158600307</v>
      </c>
      <c r="H456" s="29">
        <v>862371.91011235956</v>
      </c>
      <c r="I456" s="7">
        <v>89</v>
      </c>
      <c r="J456" s="7" t="s">
        <v>64</v>
      </c>
      <c r="K456" s="7">
        <v>773</v>
      </c>
      <c r="L456" s="7">
        <v>7</v>
      </c>
      <c r="M456" s="7" t="s">
        <v>59</v>
      </c>
      <c r="N456" s="10">
        <v>5.0124628859082136E-2</v>
      </c>
      <c r="O456" s="7">
        <v>0.12</v>
      </c>
      <c r="P456" s="7">
        <v>0.26</v>
      </c>
      <c r="R456" s="30">
        <f t="shared" si="61"/>
        <v>1995.5286000000001</v>
      </c>
      <c r="S456" s="7" t="str">
        <f t="shared" si="56"/>
        <v>85-90</v>
      </c>
      <c r="T456" s="7" t="str">
        <f t="shared" si="57"/>
        <v>750-800</v>
      </c>
      <c r="U456" s="31">
        <f t="shared" si="58"/>
        <v>0.02</v>
      </c>
      <c r="V456" s="30">
        <f t="shared" si="59"/>
        <v>89947.97677983639</v>
      </c>
      <c r="W456" s="30">
        <f t="shared" si="60"/>
        <v>16550.349569797632</v>
      </c>
      <c r="X456" s="30">
        <f t="shared" si="62"/>
        <v>16550.349569797632</v>
      </c>
      <c r="Y456" s="30">
        <f t="shared" si="63"/>
        <v>331.00699139595264</v>
      </c>
    </row>
    <row r="457" spans="1:25" x14ac:dyDescent="0.15">
      <c r="A457" s="7">
        <v>1453</v>
      </c>
      <c r="B457" s="19">
        <v>45422</v>
      </c>
      <c r="C457" s="7">
        <v>360</v>
      </c>
      <c r="D457" s="19">
        <v>45747</v>
      </c>
      <c r="E457" s="7">
        <v>10</v>
      </c>
      <c r="F457" s="29">
        <v>221791</v>
      </c>
      <c r="G457" s="29">
        <v>207247.8931726325</v>
      </c>
      <c r="H457" s="29">
        <v>243726.37362637362</v>
      </c>
      <c r="I457" s="7">
        <v>91</v>
      </c>
      <c r="J457" s="7" t="s">
        <v>73</v>
      </c>
      <c r="K457" s="7">
        <v>800</v>
      </c>
      <c r="L457" s="7">
        <v>42</v>
      </c>
      <c r="M457" s="7" t="s">
        <v>59</v>
      </c>
      <c r="N457" s="10">
        <v>6.8567856607236438E-2</v>
      </c>
      <c r="O457" s="7">
        <v>0.25</v>
      </c>
      <c r="P457" s="7">
        <v>0.24</v>
      </c>
      <c r="R457" s="30">
        <f t="shared" si="61"/>
        <v>532.29840000000002</v>
      </c>
      <c r="S457" s="7" t="str">
        <f t="shared" si="56"/>
        <v>90-95</v>
      </c>
      <c r="T457" s="7" t="str">
        <f t="shared" si="57"/>
        <v>750-800</v>
      </c>
      <c r="U457" s="31">
        <f t="shared" si="58"/>
        <v>0.05</v>
      </c>
      <c r="V457" s="30">
        <f t="shared" si="59"/>
        <v>54402.571957816035</v>
      </c>
      <c r="W457" s="30">
        <f t="shared" si="60"/>
        <v>10442.870248846564</v>
      </c>
      <c r="X457" s="30">
        <f t="shared" si="62"/>
        <v>10442.870248846564</v>
      </c>
      <c r="Y457" s="30">
        <f t="shared" si="63"/>
        <v>522.14351244232819</v>
      </c>
    </row>
    <row r="458" spans="1:25" x14ac:dyDescent="0.15">
      <c r="A458" s="7">
        <v>1454</v>
      </c>
      <c r="B458" s="19">
        <v>45458</v>
      </c>
      <c r="C458" s="7">
        <v>360</v>
      </c>
      <c r="D458" s="19">
        <v>45747</v>
      </c>
      <c r="E458" s="7">
        <v>9</v>
      </c>
      <c r="F458" s="29">
        <v>619598</v>
      </c>
      <c r="G458" s="29">
        <v>588493.7218598933</v>
      </c>
      <c r="H458" s="29">
        <v>764935.80246913573</v>
      </c>
      <c r="I458" s="7">
        <v>81</v>
      </c>
      <c r="J458" s="7" t="s">
        <v>67</v>
      </c>
      <c r="K458" s="7">
        <v>820</v>
      </c>
      <c r="L458" s="7">
        <v>49</v>
      </c>
      <c r="M458" s="7" t="s">
        <v>59</v>
      </c>
      <c r="N458" s="10">
        <v>5.3399157952982203E-2</v>
      </c>
      <c r="O458" s="7">
        <v>0.12</v>
      </c>
      <c r="P458" s="7">
        <v>0.4</v>
      </c>
      <c r="R458" s="30">
        <f t="shared" si="61"/>
        <v>2478.3920000000003</v>
      </c>
      <c r="S458" s="7" t="str">
        <f t="shared" si="56"/>
        <v>80-85</v>
      </c>
      <c r="T458" s="7" t="str">
        <f t="shared" si="57"/>
        <v>&gt; 800</v>
      </c>
      <c r="U458" s="31">
        <f t="shared" si="58"/>
        <v>0.01</v>
      </c>
      <c r="V458" s="30">
        <f t="shared" si="59"/>
        <v>74150.208954346555</v>
      </c>
      <c r="W458" s="30">
        <f t="shared" si="60"/>
        <v>-32277.024145877454</v>
      </c>
      <c r="X458" s="30">
        <f t="shared" si="62"/>
        <v>0</v>
      </c>
      <c r="Y458" s="30">
        <f t="shared" si="63"/>
        <v>0</v>
      </c>
    </row>
    <row r="459" spans="1:25" x14ac:dyDescent="0.15">
      <c r="A459" s="7">
        <v>1455</v>
      </c>
      <c r="B459" s="19">
        <v>45450</v>
      </c>
      <c r="C459" s="7">
        <v>360</v>
      </c>
      <c r="D459" s="19">
        <v>45747</v>
      </c>
      <c r="E459" s="7">
        <v>9</v>
      </c>
      <c r="F459" s="29">
        <v>776119</v>
      </c>
      <c r="G459" s="29">
        <v>726589.30662165955</v>
      </c>
      <c r="H459" s="29">
        <v>970148.75</v>
      </c>
      <c r="I459" s="7">
        <v>80</v>
      </c>
      <c r="J459" s="7" t="s">
        <v>73</v>
      </c>
      <c r="K459" s="7">
        <v>767</v>
      </c>
      <c r="L459" s="7">
        <v>23</v>
      </c>
      <c r="M459" s="7" t="s">
        <v>59</v>
      </c>
      <c r="N459" s="10">
        <v>7.6436814121182653E-2</v>
      </c>
      <c r="O459" s="7">
        <v>0.12</v>
      </c>
      <c r="P459" s="7">
        <v>0.42</v>
      </c>
      <c r="R459" s="30">
        <f t="shared" si="61"/>
        <v>3259.6997999999999</v>
      </c>
      <c r="S459" s="7" t="str">
        <f t="shared" si="56"/>
        <v>80-85</v>
      </c>
      <c r="T459" s="7" t="str">
        <f t="shared" si="57"/>
        <v>750-800</v>
      </c>
      <c r="U459" s="31">
        <f t="shared" si="58"/>
        <v>0.02</v>
      </c>
      <c r="V459" s="30">
        <f t="shared" si="59"/>
        <v>91550.25263432911</v>
      </c>
      <c r="W459" s="30">
        <f t="shared" si="60"/>
        <v>-61707.665547257406</v>
      </c>
      <c r="X459" s="30">
        <f t="shared" si="62"/>
        <v>0</v>
      </c>
      <c r="Y459" s="30">
        <f t="shared" si="63"/>
        <v>0</v>
      </c>
    </row>
    <row r="460" spans="1:25" x14ac:dyDescent="0.15">
      <c r="A460" s="7">
        <v>1456</v>
      </c>
      <c r="B460" s="19">
        <v>45360</v>
      </c>
      <c r="C460" s="7">
        <v>360</v>
      </c>
      <c r="D460" s="19">
        <v>45747</v>
      </c>
      <c r="E460" s="7">
        <v>12</v>
      </c>
      <c r="F460" s="29">
        <v>309084</v>
      </c>
      <c r="G460" s="29">
        <v>284776.67201368138</v>
      </c>
      <c r="H460" s="29">
        <v>332348.38709677418</v>
      </c>
      <c r="I460" s="7">
        <v>93</v>
      </c>
      <c r="J460" s="7" t="s">
        <v>67</v>
      </c>
      <c r="K460" s="7">
        <v>792</v>
      </c>
      <c r="L460" s="7">
        <v>17</v>
      </c>
      <c r="M460" s="7" t="s">
        <v>59</v>
      </c>
      <c r="N460" s="10">
        <v>6.8514990334971104E-2</v>
      </c>
      <c r="O460" s="7">
        <v>0.25</v>
      </c>
      <c r="P460" s="7">
        <v>0.35</v>
      </c>
      <c r="R460" s="30">
        <f t="shared" si="61"/>
        <v>1081.7939999999999</v>
      </c>
      <c r="S460" s="7" t="str">
        <f t="shared" si="56"/>
        <v>90-95</v>
      </c>
      <c r="T460" s="7" t="str">
        <f t="shared" si="57"/>
        <v>750-800</v>
      </c>
      <c r="U460" s="31">
        <f t="shared" si="58"/>
        <v>0.05</v>
      </c>
      <c r="V460" s="30">
        <f t="shared" si="59"/>
        <v>74753.876403591363</v>
      </c>
      <c r="W460" s="30">
        <f t="shared" si="60"/>
        <v>16519.37658210739</v>
      </c>
      <c r="X460" s="30">
        <f t="shared" si="62"/>
        <v>16519.37658210739</v>
      </c>
      <c r="Y460" s="30">
        <f t="shared" si="63"/>
        <v>825.96882910536954</v>
      </c>
    </row>
    <row r="461" spans="1:25" x14ac:dyDescent="0.15">
      <c r="A461" s="7">
        <v>1457</v>
      </c>
      <c r="B461" s="19">
        <v>45397</v>
      </c>
      <c r="C461" s="7">
        <v>360</v>
      </c>
      <c r="D461" s="19">
        <v>45747</v>
      </c>
      <c r="E461" s="7">
        <v>11</v>
      </c>
      <c r="F461" s="29">
        <v>501700</v>
      </c>
      <c r="G461" s="29">
        <v>471829.83202295721</v>
      </c>
      <c r="H461" s="29">
        <v>517216.49484536087</v>
      </c>
      <c r="I461" s="7">
        <v>97</v>
      </c>
      <c r="J461" s="7" t="s">
        <v>73</v>
      </c>
      <c r="K461" s="7">
        <v>710</v>
      </c>
      <c r="L461" s="7">
        <v>24</v>
      </c>
      <c r="M461" s="7" t="s">
        <v>59</v>
      </c>
      <c r="N461" s="10">
        <v>5.0723772143079063E-2</v>
      </c>
      <c r="O461" s="7">
        <v>0.35</v>
      </c>
      <c r="P461" s="7">
        <v>0.36</v>
      </c>
      <c r="R461" s="30">
        <f t="shared" si="61"/>
        <v>1806.12</v>
      </c>
      <c r="S461" s="7" t="str">
        <f t="shared" si="56"/>
        <v>&gt; 95</v>
      </c>
      <c r="T461" s="7" t="str">
        <f t="shared" si="57"/>
        <v>700-750</v>
      </c>
      <c r="U461" s="31">
        <f t="shared" si="58"/>
        <v>7.0000000000000007E-2</v>
      </c>
      <c r="V461" s="30">
        <f t="shared" si="59"/>
        <v>173397.46326843675</v>
      </c>
      <c r="W461" s="30">
        <f t="shared" si="60"/>
        <v>55787.303005548369</v>
      </c>
      <c r="X461" s="30">
        <f t="shared" si="62"/>
        <v>55787.303005548369</v>
      </c>
      <c r="Y461" s="30">
        <f t="shared" si="63"/>
        <v>3905.1112103883861</v>
      </c>
    </row>
    <row r="462" spans="1:25" x14ac:dyDescent="0.15">
      <c r="A462" s="7">
        <v>1458</v>
      </c>
      <c r="B462" s="19">
        <v>45315</v>
      </c>
      <c r="C462" s="7">
        <v>360</v>
      </c>
      <c r="D462" s="19">
        <v>45747</v>
      </c>
      <c r="E462" s="7">
        <v>14</v>
      </c>
      <c r="F462" s="29">
        <v>761618</v>
      </c>
      <c r="G462" s="29">
        <v>688905.74534114019</v>
      </c>
      <c r="H462" s="29">
        <v>810231.91489361704</v>
      </c>
      <c r="I462" s="7">
        <v>94</v>
      </c>
      <c r="J462" s="7" t="s">
        <v>72</v>
      </c>
      <c r="K462" s="7">
        <v>788</v>
      </c>
      <c r="L462" s="7">
        <v>20</v>
      </c>
      <c r="M462" s="7" t="s">
        <v>59</v>
      </c>
      <c r="N462" s="10">
        <v>7.2464284821864275E-2</v>
      </c>
      <c r="O462" s="7">
        <v>0.25</v>
      </c>
      <c r="P462" s="7">
        <v>0.26</v>
      </c>
      <c r="R462" s="30">
        <f t="shared" si="61"/>
        <v>1980.2067999999999</v>
      </c>
      <c r="S462" s="7" t="str">
        <f t="shared" si="56"/>
        <v>90-95</v>
      </c>
      <c r="T462" s="7" t="str">
        <f t="shared" si="57"/>
        <v>750-800</v>
      </c>
      <c r="U462" s="31">
        <f t="shared" si="58"/>
        <v>0.05</v>
      </c>
      <c r="V462" s="30">
        <f t="shared" si="59"/>
        <v>180837.7581520493</v>
      </c>
      <c r="W462" s="30">
        <f t="shared" si="60"/>
        <v>34653.904948622687</v>
      </c>
      <c r="X462" s="30">
        <f t="shared" si="62"/>
        <v>34653.904948622687</v>
      </c>
      <c r="Y462" s="30">
        <f t="shared" si="63"/>
        <v>1732.6952474311345</v>
      </c>
    </row>
    <row r="463" spans="1:25" x14ac:dyDescent="0.15">
      <c r="A463" s="7">
        <v>1459</v>
      </c>
      <c r="B463" s="19">
        <v>45454</v>
      </c>
      <c r="C463" s="7">
        <v>360</v>
      </c>
      <c r="D463" s="19">
        <v>45747</v>
      </c>
      <c r="E463" s="7">
        <v>9</v>
      </c>
      <c r="F463" s="29">
        <v>175072</v>
      </c>
      <c r="G463" s="29">
        <v>164502.73846365468</v>
      </c>
      <c r="H463" s="29">
        <v>188249.46236559137</v>
      </c>
      <c r="I463" s="7">
        <v>93</v>
      </c>
      <c r="J463" s="7" t="s">
        <v>67</v>
      </c>
      <c r="K463" s="7">
        <v>780</v>
      </c>
      <c r="L463" s="7">
        <v>34</v>
      </c>
      <c r="M463" s="7" t="s">
        <v>59</v>
      </c>
      <c r="N463" s="10">
        <v>7.0815484286269992E-2</v>
      </c>
      <c r="O463" s="7">
        <v>0.25</v>
      </c>
      <c r="P463" s="7">
        <v>0.34</v>
      </c>
      <c r="R463" s="30">
        <f t="shared" si="61"/>
        <v>595.24480000000005</v>
      </c>
      <c r="S463" s="7" t="str">
        <f t="shared" si="56"/>
        <v>90-95</v>
      </c>
      <c r="T463" s="7" t="str">
        <f t="shared" si="57"/>
        <v>750-800</v>
      </c>
      <c r="U463" s="31">
        <f t="shared" si="58"/>
        <v>0.05</v>
      </c>
      <c r="V463" s="30">
        <f t="shared" si="59"/>
        <v>43181.968846709358</v>
      </c>
      <c r="W463" s="30">
        <f t="shared" si="60"/>
        <v>12715.832376084756</v>
      </c>
      <c r="X463" s="30">
        <f t="shared" si="62"/>
        <v>12715.832376084756</v>
      </c>
      <c r="Y463" s="30">
        <f t="shared" si="63"/>
        <v>635.79161880423783</v>
      </c>
    </row>
    <row r="464" spans="1:25" x14ac:dyDescent="0.15">
      <c r="A464" s="7">
        <v>1460</v>
      </c>
      <c r="B464" s="19">
        <v>45461</v>
      </c>
      <c r="C464" s="7">
        <v>360</v>
      </c>
      <c r="D464" s="19">
        <v>45747</v>
      </c>
      <c r="E464" s="7">
        <v>9</v>
      </c>
      <c r="F464" s="29">
        <v>604970</v>
      </c>
      <c r="G464" s="29">
        <v>572480.84286762308</v>
      </c>
      <c r="H464" s="29">
        <v>711729.4117647059</v>
      </c>
      <c r="I464" s="7">
        <v>85</v>
      </c>
      <c r="J464" s="7" t="s">
        <v>69</v>
      </c>
      <c r="K464" s="7">
        <v>708</v>
      </c>
      <c r="L464" s="7">
        <v>3</v>
      </c>
      <c r="M464" s="7" t="s">
        <v>59</v>
      </c>
      <c r="N464" s="10">
        <v>5.9557461152715235E-2</v>
      </c>
      <c r="O464" s="7">
        <v>0.12</v>
      </c>
      <c r="P464" s="7">
        <v>0.45</v>
      </c>
      <c r="R464" s="30">
        <f t="shared" si="61"/>
        <v>2722.3649999999998</v>
      </c>
      <c r="S464" s="7" t="str">
        <f t="shared" si="56"/>
        <v>80-85</v>
      </c>
      <c r="T464" s="7" t="str">
        <f t="shared" si="57"/>
        <v>700-750</v>
      </c>
      <c r="U464" s="31">
        <f t="shared" si="58"/>
        <v>2.5000000000000001E-2</v>
      </c>
      <c r="V464" s="30">
        <f t="shared" si="59"/>
        <v>72132.586201320504</v>
      </c>
      <c r="W464" s="30">
        <f t="shared" si="60"/>
        <v>-3865.114988995716</v>
      </c>
      <c r="X464" s="30">
        <f t="shared" si="62"/>
        <v>0</v>
      </c>
      <c r="Y464" s="30">
        <f t="shared" si="63"/>
        <v>0</v>
      </c>
    </row>
    <row r="465" spans="1:25" x14ac:dyDescent="0.15">
      <c r="A465" s="7">
        <v>1461</v>
      </c>
      <c r="B465" s="19">
        <v>45431</v>
      </c>
      <c r="C465" s="7">
        <v>360</v>
      </c>
      <c r="D465" s="19">
        <v>45747</v>
      </c>
      <c r="E465" s="7">
        <v>10</v>
      </c>
      <c r="F465" s="29">
        <v>258062</v>
      </c>
      <c r="G465" s="29">
        <v>242847.6809338071</v>
      </c>
      <c r="H465" s="29">
        <v>293252.27272727271</v>
      </c>
      <c r="I465" s="7">
        <v>88</v>
      </c>
      <c r="J465" s="7" t="s">
        <v>61</v>
      </c>
      <c r="K465" s="7">
        <v>814</v>
      </c>
      <c r="L465" s="7">
        <v>3</v>
      </c>
      <c r="M465" s="7" t="s">
        <v>59</v>
      </c>
      <c r="N465" s="10">
        <v>5.8440412345118924E-2</v>
      </c>
      <c r="O465" s="7">
        <v>0.12</v>
      </c>
      <c r="P465" s="7">
        <v>0.24</v>
      </c>
      <c r="R465" s="30">
        <f t="shared" si="61"/>
        <v>619.34879999999998</v>
      </c>
      <c r="S465" s="7" t="str">
        <f t="shared" si="56"/>
        <v>85-90</v>
      </c>
      <c r="T465" s="7" t="str">
        <f t="shared" si="57"/>
        <v>&gt; 800</v>
      </c>
      <c r="U465" s="31">
        <f t="shared" si="58"/>
        <v>0.01</v>
      </c>
      <c r="V465" s="30">
        <f t="shared" si="59"/>
        <v>30598.807797659694</v>
      </c>
      <c r="W465" s="30">
        <f t="shared" si="60"/>
        <v>5725.633162315673</v>
      </c>
      <c r="X465" s="30">
        <f t="shared" si="62"/>
        <v>5725.633162315673</v>
      </c>
      <c r="Y465" s="30">
        <f t="shared" si="63"/>
        <v>57.256331623156733</v>
      </c>
    </row>
    <row r="466" spans="1:25" x14ac:dyDescent="0.15">
      <c r="A466" s="7">
        <v>1462</v>
      </c>
      <c r="B466" s="19">
        <v>45344</v>
      </c>
      <c r="C466" s="7">
        <v>360</v>
      </c>
      <c r="D466" s="19">
        <v>45747</v>
      </c>
      <c r="E466" s="7">
        <v>13</v>
      </c>
      <c r="F466" s="29">
        <v>412052</v>
      </c>
      <c r="G466" s="29">
        <v>381020.71909996495</v>
      </c>
      <c r="H466" s="29">
        <v>429220.83333333337</v>
      </c>
      <c r="I466" s="7">
        <v>96</v>
      </c>
      <c r="J466" s="7" t="s">
        <v>62</v>
      </c>
      <c r="K466" s="7">
        <v>780</v>
      </c>
      <c r="L466" s="7">
        <v>14</v>
      </c>
      <c r="M466" s="7" t="s">
        <v>59</v>
      </c>
      <c r="N466" s="10">
        <v>5.6826444307971118E-2</v>
      </c>
      <c r="O466" s="7">
        <v>0.3</v>
      </c>
      <c r="P466" s="7">
        <v>0.27</v>
      </c>
      <c r="R466" s="30">
        <f t="shared" si="61"/>
        <v>1112.5404000000001</v>
      </c>
      <c r="S466" s="7" t="str">
        <f t="shared" si="56"/>
        <v>&gt; 95</v>
      </c>
      <c r="T466" s="7" t="str">
        <f t="shared" si="57"/>
        <v>750-800</v>
      </c>
      <c r="U466" s="31">
        <f t="shared" si="58"/>
        <v>0.06</v>
      </c>
      <c r="V466" s="30">
        <f t="shared" si="59"/>
        <v>120021.52651648896</v>
      </c>
      <c r="W466" s="30">
        <f t="shared" si="60"/>
        <v>35234.046721629857</v>
      </c>
      <c r="X466" s="30">
        <f t="shared" si="62"/>
        <v>35234.046721629857</v>
      </c>
      <c r="Y466" s="30">
        <f t="shared" si="63"/>
        <v>2114.0428032977911</v>
      </c>
    </row>
    <row r="467" spans="1:25" x14ac:dyDescent="0.15">
      <c r="A467" s="7">
        <v>1463</v>
      </c>
      <c r="B467" s="19">
        <v>45414</v>
      </c>
      <c r="C467" s="7">
        <v>360</v>
      </c>
      <c r="D467" s="19">
        <v>45747</v>
      </c>
      <c r="E467" s="7">
        <v>10</v>
      </c>
      <c r="F467" s="29">
        <v>751784</v>
      </c>
      <c r="G467" s="29">
        <v>698496.02200816211</v>
      </c>
      <c r="H467" s="29">
        <v>894980.95238095243</v>
      </c>
      <c r="I467" s="7">
        <v>84</v>
      </c>
      <c r="J467" s="7" t="s">
        <v>63</v>
      </c>
      <c r="K467" s="7">
        <v>670</v>
      </c>
      <c r="L467" s="7">
        <v>49</v>
      </c>
      <c r="M467" s="7" t="s">
        <v>59</v>
      </c>
      <c r="N467" s="10">
        <v>7.6399189381459176E-2</v>
      </c>
      <c r="O467" s="7">
        <v>0.12</v>
      </c>
      <c r="P467" s="7">
        <v>0.37</v>
      </c>
      <c r="R467" s="30">
        <f t="shared" si="61"/>
        <v>2781.6008000000002</v>
      </c>
      <c r="S467" s="7" t="str">
        <f t="shared" si="56"/>
        <v>80-85</v>
      </c>
      <c r="T467" s="7" t="str">
        <f t="shared" si="57"/>
        <v>650-700</v>
      </c>
      <c r="U467" s="31">
        <f t="shared" si="58"/>
        <v>0.03</v>
      </c>
      <c r="V467" s="30">
        <f t="shared" si="59"/>
        <v>88010.498773028434</v>
      </c>
      <c r="W467" s="30">
        <f t="shared" si="60"/>
        <v>-27312.986415239284</v>
      </c>
      <c r="X467" s="30">
        <f t="shared" si="62"/>
        <v>0</v>
      </c>
      <c r="Y467" s="30">
        <f t="shared" si="63"/>
        <v>0</v>
      </c>
    </row>
    <row r="468" spans="1:25" x14ac:dyDescent="0.15">
      <c r="A468" s="7">
        <v>1464</v>
      </c>
      <c r="B468" s="19">
        <v>45309</v>
      </c>
      <c r="C468" s="7">
        <v>360</v>
      </c>
      <c r="D468" s="19">
        <v>45747</v>
      </c>
      <c r="E468" s="7">
        <v>14</v>
      </c>
      <c r="F468" s="29">
        <v>701342</v>
      </c>
      <c r="G468" s="29">
        <v>640458.08506849734</v>
      </c>
      <c r="H468" s="29">
        <v>746108.51063829788</v>
      </c>
      <c r="I468" s="7">
        <v>94</v>
      </c>
      <c r="J468" s="7" t="s">
        <v>72</v>
      </c>
      <c r="K468" s="7">
        <v>602</v>
      </c>
      <c r="L468" s="7">
        <v>11</v>
      </c>
      <c r="M468" s="7" t="s">
        <v>59</v>
      </c>
      <c r="N468" s="10">
        <v>6.3169126796175187E-2</v>
      </c>
      <c r="O468" s="7">
        <v>0.25</v>
      </c>
      <c r="P468" s="7">
        <v>0.22</v>
      </c>
      <c r="R468" s="30">
        <f t="shared" si="61"/>
        <v>1542.9523999999999</v>
      </c>
      <c r="S468" s="7" t="str">
        <f t="shared" si="56"/>
        <v>90-95</v>
      </c>
      <c r="T468" s="7" t="str">
        <f t="shared" si="57"/>
        <v>&lt; 650</v>
      </c>
      <c r="U468" s="31">
        <f t="shared" si="58"/>
        <v>0.08</v>
      </c>
      <c r="V468" s="30">
        <f t="shared" si="59"/>
        <v>168120.24733048055</v>
      </c>
      <c r="W468" s="30">
        <f t="shared" si="60"/>
        <v>38288.755279368954</v>
      </c>
      <c r="X468" s="30">
        <f t="shared" si="62"/>
        <v>38288.755279368954</v>
      </c>
      <c r="Y468" s="30">
        <f t="shared" si="63"/>
        <v>3063.1004223495165</v>
      </c>
    </row>
    <row r="469" spans="1:25" x14ac:dyDescent="0.15">
      <c r="A469" s="7">
        <v>1465</v>
      </c>
      <c r="B469" s="19">
        <v>45421</v>
      </c>
      <c r="C469" s="7">
        <v>360</v>
      </c>
      <c r="D469" s="19">
        <v>45747</v>
      </c>
      <c r="E469" s="7">
        <v>10</v>
      </c>
      <c r="F469" s="29">
        <v>582079</v>
      </c>
      <c r="G469" s="29">
        <v>544955.96463185677</v>
      </c>
      <c r="H469" s="29">
        <v>718616.04938271595</v>
      </c>
      <c r="I469" s="7">
        <v>81</v>
      </c>
      <c r="J469" s="7" t="s">
        <v>71</v>
      </c>
      <c r="K469" s="7">
        <v>768</v>
      </c>
      <c r="L469" s="7">
        <v>40</v>
      </c>
      <c r="M469" s="7" t="s">
        <v>59</v>
      </c>
      <c r="N469" s="10">
        <v>6.5864829442373776E-2</v>
      </c>
      <c r="O469" s="7">
        <v>0.12</v>
      </c>
      <c r="P469" s="7">
        <v>0.39</v>
      </c>
      <c r="R469" s="30">
        <f t="shared" si="61"/>
        <v>2270.1080999999999</v>
      </c>
      <c r="S469" s="7" t="str">
        <f t="shared" si="56"/>
        <v>80-85</v>
      </c>
      <c r="T469" s="7" t="str">
        <f t="shared" si="57"/>
        <v>750-800</v>
      </c>
      <c r="U469" s="31">
        <f t="shared" si="58"/>
        <v>0.02</v>
      </c>
      <c r="V469" s="30">
        <f t="shared" si="59"/>
        <v>68664.451543613948</v>
      </c>
      <c r="W469" s="30">
        <f t="shared" si="60"/>
        <v>-38619.8791118589</v>
      </c>
      <c r="X469" s="30">
        <f t="shared" si="62"/>
        <v>0</v>
      </c>
      <c r="Y469" s="30">
        <f t="shared" si="63"/>
        <v>0</v>
      </c>
    </row>
    <row r="470" spans="1:25" x14ac:dyDescent="0.15">
      <c r="A470" s="7">
        <v>1466</v>
      </c>
      <c r="B470" s="19">
        <v>45454</v>
      </c>
      <c r="C470" s="7">
        <v>360</v>
      </c>
      <c r="D470" s="19">
        <v>45747</v>
      </c>
      <c r="E470" s="7">
        <v>9</v>
      </c>
      <c r="F470" s="29">
        <v>398294</v>
      </c>
      <c r="G470" s="29">
        <v>372984.8303005973</v>
      </c>
      <c r="H470" s="29">
        <v>410612.37113402062</v>
      </c>
      <c r="I470" s="7">
        <v>97</v>
      </c>
      <c r="J470" s="7" t="s">
        <v>70</v>
      </c>
      <c r="K470" s="7">
        <v>734</v>
      </c>
      <c r="L470" s="7">
        <v>27</v>
      </c>
      <c r="M470" s="7" t="s">
        <v>59</v>
      </c>
      <c r="N470" s="10">
        <v>7.5995493866122629E-2</v>
      </c>
      <c r="O470" s="7">
        <v>0.35</v>
      </c>
      <c r="P470" s="7">
        <v>0.24</v>
      </c>
      <c r="R470" s="30">
        <f t="shared" si="61"/>
        <v>955.90559999999994</v>
      </c>
      <c r="S470" s="7" t="str">
        <f t="shared" si="56"/>
        <v>&gt; 95</v>
      </c>
      <c r="T470" s="7" t="str">
        <f t="shared" si="57"/>
        <v>700-750</v>
      </c>
      <c r="U470" s="31">
        <f t="shared" si="58"/>
        <v>7.0000000000000007E-2</v>
      </c>
      <c r="V470" s="30">
        <f t="shared" si="59"/>
        <v>137071.9251354695</v>
      </c>
      <c r="W470" s="30">
        <f t="shared" si="60"/>
        <v>42613.556351709645</v>
      </c>
      <c r="X470" s="30">
        <f t="shared" si="62"/>
        <v>42613.556351709645</v>
      </c>
      <c r="Y470" s="30">
        <f t="shared" si="63"/>
        <v>2982.9489446196753</v>
      </c>
    </row>
    <row r="471" spans="1:25" x14ac:dyDescent="0.15">
      <c r="A471" s="7">
        <v>1467</v>
      </c>
      <c r="B471" s="19">
        <v>45369</v>
      </c>
      <c r="C471" s="7">
        <v>360</v>
      </c>
      <c r="D471" s="19">
        <v>45747</v>
      </c>
      <c r="E471" s="7">
        <v>12</v>
      </c>
      <c r="F471" s="29">
        <v>299515</v>
      </c>
      <c r="G471" s="29">
        <v>274229.46602960932</v>
      </c>
      <c r="H471" s="29">
        <v>329137.36263736262</v>
      </c>
      <c r="I471" s="7">
        <v>91</v>
      </c>
      <c r="J471" s="7" t="s">
        <v>64</v>
      </c>
      <c r="K471" s="7">
        <v>696</v>
      </c>
      <c r="L471" s="7">
        <v>40</v>
      </c>
      <c r="M471" s="7" t="s">
        <v>59</v>
      </c>
      <c r="N471" s="10">
        <v>7.562705564134925E-2</v>
      </c>
      <c r="O471" s="7">
        <v>0.25</v>
      </c>
      <c r="P471" s="7">
        <v>0.4</v>
      </c>
      <c r="R471" s="30">
        <f t="shared" si="61"/>
        <v>1198.06</v>
      </c>
      <c r="S471" s="7" t="str">
        <f t="shared" si="56"/>
        <v>90-95</v>
      </c>
      <c r="T471" s="7" t="str">
        <f t="shared" si="57"/>
        <v>650-700</v>
      </c>
      <c r="U471" s="31">
        <f t="shared" si="58"/>
        <v>7.0000000000000007E-2</v>
      </c>
      <c r="V471" s="30">
        <f t="shared" si="59"/>
        <v>71985.234832772447</v>
      </c>
      <c r="W471" s="30">
        <f t="shared" si="60"/>
        <v>8174.1810893315705</v>
      </c>
      <c r="X471" s="30">
        <f t="shared" si="62"/>
        <v>8174.1810893315705</v>
      </c>
      <c r="Y471" s="30">
        <f t="shared" si="63"/>
        <v>572.19267625321004</v>
      </c>
    </row>
    <row r="472" spans="1:25" x14ac:dyDescent="0.15">
      <c r="A472" s="7">
        <v>1468</v>
      </c>
      <c r="B472" s="19">
        <v>45317</v>
      </c>
      <c r="C472" s="7">
        <v>360</v>
      </c>
      <c r="D472" s="19">
        <v>45747</v>
      </c>
      <c r="E472" s="7">
        <v>14</v>
      </c>
      <c r="F472" s="29">
        <v>237279</v>
      </c>
      <c r="G472" s="29">
        <v>214494.71008101109</v>
      </c>
      <c r="H472" s="29">
        <v>247165.625</v>
      </c>
      <c r="I472" s="7">
        <v>96</v>
      </c>
      <c r="J472" s="7" t="s">
        <v>70</v>
      </c>
      <c r="K472" s="7">
        <v>833</v>
      </c>
      <c r="L472" s="7">
        <v>27</v>
      </c>
      <c r="M472" s="7" t="s">
        <v>59</v>
      </c>
      <c r="N472" s="10">
        <v>7.304548013523901E-2</v>
      </c>
      <c r="O472" s="7">
        <v>0.3</v>
      </c>
      <c r="P472" s="7">
        <v>0.32</v>
      </c>
      <c r="R472" s="30">
        <f t="shared" si="61"/>
        <v>759.29279999999994</v>
      </c>
      <c r="S472" s="7" t="str">
        <f t="shared" si="56"/>
        <v>&gt; 95</v>
      </c>
      <c r="T472" s="7" t="str">
        <f t="shared" si="57"/>
        <v>&gt; 800</v>
      </c>
      <c r="U472" s="31">
        <f t="shared" si="58"/>
        <v>0.05</v>
      </c>
      <c r="V472" s="30">
        <f t="shared" si="59"/>
        <v>67565.833675518486</v>
      </c>
      <c r="W472" s="30">
        <f t="shared" si="60"/>
        <v>15128.66433506165</v>
      </c>
      <c r="X472" s="30">
        <f t="shared" si="62"/>
        <v>15128.66433506165</v>
      </c>
      <c r="Y472" s="30">
        <f t="shared" si="63"/>
        <v>756.43321675308255</v>
      </c>
    </row>
    <row r="473" spans="1:25" x14ac:dyDescent="0.15">
      <c r="A473" s="7">
        <v>1469</v>
      </c>
      <c r="B473" s="19">
        <v>45379</v>
      </c>
      <c r="C473" s="7">
        <v>360</v>
      </c>
      <c r="D473" s="19">
        <v>45747</v>
      </c>
      <c r="E473" s="7">
        <v>12</v>
      </c>
      <c r="F473" s="29">
        <v>113836</v>
      </c>
      <c r="G473" s="29">
        <v>104221.48294983523</v>
      </c>
      <c r="H473" s="29">
        <v>140538.27160493826</v>
      </c>
      <c r="I473" s="7">
        <v>81</v>
      </c>
      <c r="J473" s="7" t="s">
        <v>63</v>
      </c>
      <c r="K473" s="7">
        <v>685</v>
      </c>
      <c r="L473" s="7">
        <v>39</v>
      </c>
      <c r="M473" s="7" t="s">
        <v>59</v>
      </c>
      <c r="N473" s="10">
        <v>7.5672919041212469E-2</v>
      </c>
      <c r="O473" s="7">
        <v>0.12</v>
      </c>
      <c r="P473" s="7">
        <v>0.32</v>
      </c>
      <c r="R473" s="30">
        <f t="shared" si="61"/>
        <v>364.27520000000004</v>
      </c>
      <c r="S473" s="7" t="str">
        <f t="shared" si="56"/>
        <v>80-85</v>
      </c>
      <c r="T473" s="7" t="str">
        <f t="shared" si="57"/>
        <v>650-700</v>
      </c>
      <c r="U473" s="31">
        <f t="shared" si="58"/>
        <v>0.03</v>
      </c>
      <c r="V473" s="30">
        <f t="shared" si="59"/>
        <v>13131.906851679239</v>
      </c>
      <c r="W473" s="30">
        <f t="shared" si="60"/>
        <v>-10024.97376687052</v>
      </c>
      <c r="X473" s="30">
        <f t="shared" si="62"/>
        <v>0</v>
      </c>
      <c r="Y473" s="30">
        <f t="shared" si="63"/>
        <v>0</v>
      </c>
    </row>
    <row r="474" spans="1:25" x14ac:dyDescent="0.15">
      <c r="A474" s="7">
        <v>1470</v>
      </c>
      <c r="B474" s="19">
        <v>45324</v>
      </c>
      <c r="C474" s="7">
        <v>360</v>
      </c>
      <c r="D474" s="19">
        <v>45747</v>
      </c>
      <c r="E474" s="7">
        <v>13</v>
      </c>
      <c r="F474" s="29">
        <v>163327</v>
      </c>
      <c r="G474" s="29">
        <v>151218.20859072189</v>
      </c>
      <c r="H474" s="29">
        <v>189915.11627906977</v>
      </c>
      <c r="I474" s="7">
        <v>86</v>
      </c>
      <c r="J474" s="7" t="s">
        <v>64</v>
      </c>
      <c r="K474" s="7">
        <v>776</v>
      </c>
      <c r="L474" s="7">
        <v>17</v>
      </c>
      <c r="M474" s="7" t="s">
        <v>59</v>
      </c>
      <c r="N474" s="10">
        <v>5.5398992611579961E-2</v>
      </c>
      <c r="O474" s="7">
        <v>0.12</v>
      </c>
      <c r="P474" s="7">
        <v>0.21</v>
      </c>
      <c r="R474" s="30">
        <f t="shared" si="61"/>
        <v>342.98669999999998</v>
      </c>
      <c r="S474" s="7" t="str">
        <f t="shared" si="56"/>
        <v>85-90</v>
      </c>
      <c r="T474" s="7" t="str">
        <f t="shared" si="57"/>
        <v>750-800</v>
      </c>
      <c r="U474" s="31">
        <f t="shared" si="58"/>
        <v>0.02</v>
      </c>
      <c r="V474" s="30">
        <f t="shared" si="59"/>
        <v>19053.494282430958</v>
      </c>
      <c r="W474" s="30">
        <f t="shared" si="60"/>
        <v>-2648.7298169513233</v>
      </c>
      <c r="X474" s="30">
        <f t="shared" si="62"/>
        <v>0</v>
      </c>
      <c r="Y474" s="30">
        <f t="shared" si="63"/>
        <v>0</v>
      </c>
    </row>
    <row r="475" spans="1:25" x14ac:dyDescent="0.15">
      <c r="A475" s="7">
        <v>1471</v>
      </c>
      <c r="B475" s="19">
        <v>45337</v>
      </c>
      <c r="C475" s="7">
        <v>360</v>
      </c>
      <c r="D475" s="19">
        <v>45747</v>
      </c>
      <c r="E475" s="7">
        <v>13</v>
      </c>
      <c r="F475" s="29">
        <v>129213</v>
      </c>
      <c r="G475" s="29">
        <v>118607.84702049805</v>
      </c>
      <c r="H475" s="29">
        <v>137460.63829787236</v>
      </c>
      <c r="I475" s="7">
        <v>94</v>
      </c>
      <c r="J475" s="7" t="s">
        <v>67</v>
      </c>
      <c r="K475" s="7">
        <v>781</v>
      </c>
      <c r="L475" s="7">
        <v>42</v>
      </c>
      <c r="M475" s="7" t="s">
        <v>59</v>
      </c>
      <c r="N475" s="10">
        <v>6.4890172614374117E-2</v>
      </c>
      <c r="O475" s="7">
        <v>0.25</v>
      </c>
      <c r="P475" s="7">
        <v>0.22</v>
      </c>
      <c r="R475" s="30">
        <f t="shared" si="61"/>
        <v>284.26859999999999</v>
      </c>
      <c r="S475" s="7" t="str">
        <f t="shared" si="56"/>
        <v>90-95</v>
      </c>
      <c r="T475" s="7" t="str">
        <f t="shared" si="57"/>
        <v>750-800</v>
      </c>
      <c r="U475" s="31">
        <f t="shared" si="58"/>
        <v>0.05</v>
      </c>
      <c r="V475" s="30">
        <f t="shared" si="59"/>
        <v>31134.559842880743</v>
      </c>
      <c r="W475" s="30">
        <f t="shared" si="60"/>
        <v>7696.6968183314748</v>
      </c>
      <c r="X475" s="30">
        <f t="shared" si="62"/>
        <v>7696.6968183314748</v>
      </c>
      <c r="Y475" s="30">
        <f t="shared" si="63"/>
        <v>384.83484091657374</v>
      </c>
    </row>
    <row r="476" spans="1:25" x14ac:dyDescent="0.15">
      <c r="A476" s="7">
        <v>1472</v>
      </c>
      <c r="B476" s="19">
        <v>45302</v>
      </c>
      <c r="C476" s="7">
        <v>360</v>
      </c>
      <c r="D476" s="19">
        <v>45747</v>
      </c>
      <c r="E476" s="7">
        <v>14</v>
      </c>
      <c r="F476" s="29">
        <v>714553</v>
      </c>
      <c r="G476" s="29">
        <v>656114.36005469318</v>
      </c>
      <c r="H476" s="29">
        <v>840650.5882352941</v>
      </c>
      <c r="I476" s="7">
        <v>85</v>
      </c>
      <c r="J476" s="7" t="s">
        <v>73</v>
      </c>
      <c r="K476" s="7">
        <v>720</v>
      </c>
      <c r="L476" s="7">
        <v>4</v>
      </c>
      <c r="M476" s="7" t="s">
        <v>59</v>
      </c>
      <c r="N476" s="10">
        <v>5.759363242530649E-2</v>
      </c>
      <c r="O476" s="7">
        <v>0.12</v>
      </c>
      <c r="P476" s="7">
        <v>0.2</v>
      </c>
      <c r="R476" s="30">
        <f t="shared" si="61"/>
        <v>1429.106</v>
      </c>
      <c r="S476" s="7" t="str">
        <f t="shared" si="56"/>
        <v>80-85</v>
      </c>
      <c r="T476" s="7" t="str">
        <f t="shared" si="57"/>
        <v>700-750</v>
      </c>
      <c r="U476" s="31">
        <f t="shared" si="58"/>
        <v>2.5000000000000001E-2</v>
      </c>
      <c r="V476" s="30">
        <f t="shared" si="59"/>
        <v>82670.409366891341</v>
      </c>
      <c r="W476" s="30">
        <f t="shared" si="60"/>
        <v>-25632.921942572109</v>
      </c>
      <c r="X476" s="30">
        <f t="shared" si="62"/>
        <v>0</v>
      </c>
      <c r="Y476" s="30">
        <f t="shared" si="63"/>
        <v>0</v>
      </c>
    </row>
    <row r="477" spans="1:25" x14ac:dyDescent="0.15">
      <c r="A477" s="7">
        <v>1473</v>
      </c>
      <c r="B477" s="19">
        <v>45326</v>
      </c>
      <c r="C477" s="7">
        <v>360</v>
      </c>
      <c r="D477" s="19">
        <v>45747</v>
      </c>
      <c r="E477" s="7">
        <v>13</v>
      </c>
      <c r="F477" s="29">
        <v>123711</v>
      </c>
      <c r="G477" s="29">
        <v>113364.13249164319</v>
      </c>
      <c r="H477" s="29">
        <v>143850</v>
      </c>
      <c r="I477" s="7">
        <v>86</v>
      </c>
      <c r="J477" s="7" t="s">
        <v>61</v>
      </c>
      <c r="K477" s="7">
        <v>607</v>
      </c>
      <c r="L477" s="7">
        <v>17</v>
      </c>
      <c r="M477" s="7" t="s">
        <v>59</v>
      </c>
      <c r="N477" s="10">
        <v>6.6711383362864737E-2</v>
      </c>
      <c r="O477" s="7">
        <v>0.12</v>
      </c>
      <c r="P477" s="7">
        <v>0.35</v>
      </c>
      <c r="R477" s="30">
        <f t="shared" si="61"/>
        <v>432.98849999999999</v>
      </c>
      <c r="S477" s="7" t="str">
        <f t="shared" si="56"/>
        <v>85-90</v>
      </c>
      <c r="T477" s="7" t="str">
        <f t="shared" si="57"/>
        <v>&lt; 650</v>
      </c>
      <c r="U477" s="31">
        <f t="shared" si="58"/>
        <v>0.05</v>
      </c>
      <c r="V477" s="30">
        <f t="shared" si="59"/>
        <v>14283.880693947041</v>
      </c>
      <c r="W477" s="30">
        <f t="shared" si="60"/>
        <v>-3240.1608837746462</v>
      </c>
      <c r="X477" s="30">
        <f t="shared" si="62"/>
        <v>0</v>
      </c>
      <c r="Y477" s="30">
        <f t="shared" si="63"/>
        <v>0</v>
      </c>
    </row>
    <row r="478" spans="1:25" x14ac:dyDescent="0.15">
      <c r="A478" s="7">
        <v>1474</v>
      </c>
      <c r="B478" s="19">
        <v>45361</v>
      </c>
      <c r="C478" s="7">
        <v>360</v>
      </c>
      <c r="D478" s="19">
        <v>45747</v>
      </c>
      <c r="E478" s="7">
        <v>12</v>
      </c>
      <c r="F478" s="29">
        <v>420828</v>
      </c>
      <c r="G478" s="29">
        <v>385465.20401731355</v>
      </c>
      <c r="H478" s="29">
        <v>438362.5</v>
      </c>
      <c r="I478" s="7">
        <v>96</v>
      </c>
      <c r="J478" s="7" t="s">
        <v>71</v>
      </c>
      <c r="K478" s="7">
        <v>686</v>
      </c>
      <c r="L478" s="7">
        <v>24</v>
      </c>
      <c r="M478" s="7" t="s">
        <v>59</v>
      </c>
      <c r="N478" s="10">
        <v>7.5152968257448591E-2</v>
      </c>
      <c r="O478" s="7">
        <v>0.3</v>
      </c>
      <c r="P478" s="7">
        <v>0.21</v>
      </c>
      <c r="R478" s="30">
        <f t="shared" si="61"/>
        <v>883.73879999999986</v>
      </c>
      <c r="S478" s="7" t="str">
        <f t="shared" si="56"/>
        <v>&gt; 95</v>
      </c>
      <c r="T478" s="7" t="str">
        <f t="shared" si="57"/>
        <v>650-700</v>
      </c>
      <c r="U478" s="31">
        <f t="shared" si="58"/>
        <v>0.08</v>
      </c>
      <c r="V478" s="30">
        <f t="shared" si="59"/>
        <v>121421.53926545376</v>
      </c>
      <c r="W478" s="30">
        <f t="shared" si="60"/>
        <v>32130.33921817923</v>
      </c>
      <c r="X478" s="30">
        <f t="shared" si="62"/>
        <v>32130.33921817923</v>
      </c>
      <c r="Y478" s="30">
        <f t="shared" si="63"/>
        <v>2570.4271374543382</v>
      </c>
    </row>
    <row r="479" spans="1:25" x14ac:dyDescent="0.15">
      <c r="A479" s="7">
        <v>1475</v>
      </c>
      <c r="B479" s="19">
        <v>45305</v>
      </c>
      <c r="C479" s="7">
        <v>360</v>
      </c>
      <c r="D479" s="19">
        <v>45747</v>
      </c>
      <c r="E479" s="7">
        <v>14</v>
      </c>
      <c r="F479" s="29">
        <v>617228</v>
      </c>
      <c r="G479" s="29">
        <v>568980.75657634321</v>
      </c>
      <c r="H479" s="29">
        <v>670900</v>
      </c>
      <c r="I479" s="7">
        <v>92</v>
      </c>
      <c r="J479" s="7" t="s">
        <v>69</v>
      </c>
      <c r="K479" s="7">
        <v>804</v>
      </c>
      <c r="L479" s="7">
        <v>47</v>
      </c>
      <c r="M479" s="7" t="s">
        <v>59</v>
      </c>
      <c r="N479" s="10">
        <v>5.3488185647001106E-2</v>
      </c>
      <c r="O479" s="7">
        <v>0.25</v>
      </c>
      <c r="P479" s="7">
        <v>0.31</v>
      </c>
      <c r="R479" s="30">
        <f t="shared" si="61"/>
        <v>1913.4068</v>
      </c>
      <c r="S479" s="7" t="str">
        <f t="shared" si="56"/>
        <v>90-95</v>
      </c>
      <c r="T479" s="7" t="str">
        <f t="shared" si="57"/>
        <v>&gt; 800</v>
      </c>
      <c r="U479" s="31">
        <f t="shared" si="58"/>
        <v>0.04</v>
      </c>
      <c r="V479" s="30">
        <f t="shared" si="59"/>
        <v>149357.44860129009</v>
      </c>
      <c r="W479" s="30">
        <f t="shared" si="60"/>
        <v>27164.794405160355</v>
      </c>
      <c r="X479" s="30">
        <f t="shared" si="62"/>
        <v>27164.794405160355</v>
      </c>
      <c r="Y479" s="30">
        <f t="shared" si="63"/>
        <v>1086.5917762064141</v>
      </c>
    </row>
    <row r="480" spans="1:25" x14ac:dyDescent="0.15">
      <c r="A480" s="7">
        <v>1476</v>
      </c>
      <c r="B480" s="19">
        <v>45297</v>
      </c>
      <c r="C480" s="7">
        <v>360</v>
      </c>
      <c r="D480" s="19">
        <v>45747</v>
      </c>
      <c r="E480" s="7">
        <v>14</v>
      </c>
      <c r="F480" s="29">
        <v>548431</v>
      </c>
      <c r="G480" s="29">
        <v>492466.78266231378</v>
      </c>
      <c r="H480" s="29">
        <v>602671.42857142852</v>
      </c>
      <c r="I480" s="7">
        <v>91</v>
      </c>
      <c r="J480" s="7" t="s">
        <v>67</v>
      </c>
      <c r="K480" s="7">
        <v>681</v>
      </c>
      <c r="L480" s="7">
        <v>33</v>
      </c>
      <c r="M480" s="7" t="s">
        <v>59</v>
      </c>
      <c r="N480" s="10">
        <v>7.9299527177002282E-2</v>
      </c>
      <c r="O480" s="7">
        <v>0.25</v>
      </c>
      <c r="P480" s="7">
        <v>0.2</v>
      </c>
      <c r="R480" s="30">
        <f t="shared" si="61"/>
        <v>1096.8620000000001</v>
      </c>
      <c r="S480" s="7" t="str">
        <f t="shared" si="56"/>
        <v>90-95</v>
      </c>
      <c r="T480" s="7" t="str">
        <f t="shared" si="57"/>
        <v>650-700</v>
      </c>
      <c r="U480" s="31">
        <f t="shared" si="58"/>
        <v>7.0000000000000007E-2</v>
      </c>
      <c r="V480" s="30">
        <f t="shared" si="59"/>
        <v>129272.53044885737</v>
      </c>
      <c r="W480" s="30">
        <f t="shared" si="60"/>
        <v>4819.4075097152963</v>
      </c>
      <c r="X480" s="30">
        <f t="shared" si="62"/>
        <v>4819.4075097152963</v>
      </c>
      <c r="Y480" s="30">
        <f t="shared" si="63"/>
        <v>337.35852568007078</v>
      </c>
    </row>
    <row r="481" spans="1:25" x14ac:dyDescent="0.15">
      <c r="A481" s="7">
        <v>1477</v>
      </c>
      <c r="B481" s="19">
        <v>45440</v>
      </c>
      <c r="C481" s="7">
        <v>360</v>
      </c>
      <c r="D481" s="19">
        <v>45747</v>
      </c>
      <c r="E481" s="7">
        <v>10</v>
      </c>
      <c r="F481" s="29">
        <v>544546</v>
      </c>
      <c r="G481" s="29">
        <v>509354.96224364208</v>
      </c>
      <c r="H481" s="29">
        <v>605051.11111111112</v>
      </c>
      <c r="I481" s="7">
        <v>90</v>
      </c>
      <c r="J481" s="7" t="s">
        <v>68</v>
      </c>
      <c r="K481" s="7">
        <v>693</v>
      </c>
      <c r="L481" s="7">
        <v>32</v>
      </c>
      <c r="M481" s="7" t="s">
        <v>59</v>
      </c>
      <c r="N481" s="10">
        <v>6.7145807981599637E-2</v>
      </c>
      <c r="O481" s="7">
        <v>0.25</v>
      </c>
      <c r="P481" s="7">
        <v>0.4</v>
      </c>
      <c r="R481" s="30">
        <f t="shared" si="61"/>
        <v>2178.1840000000002</v>
      </c>
      <c r="S481" s="7" t="str">
        <f t="shared" si="56"/>
        <v>85-90</v>
      </c>
      <c r="T481" s="7" t="str">
        <f t="shared" si="57"/>
        <v>650-700</v>
      </c>
      <c r="U481" s="31">
        <f t="shared" si="58"/>
        <v>0.04</v>
      </c>
      <c r="V481" s="30">
        <f t="shared" si="59"/>
        <v>133705.67758895605</v>
      </c>
      <c r="W481" s="30">
        <f t="shared" si="60"/>
        <v>20529.265911379771</v>
      </c>
      <c r="X481" s="30">
        <f t="shared" si="62"/>
        <v>20529.265911379771</v>
      </c>
      <c r="Y481" s="30">
        <f t="shared" si="63"/>
        <v>821.1706364551909</v>
      </c>
    </row>
    <row r="482" spans="1:25" x14ac:dyDescent="0.15">
      <c r="A482" s="7">
        <v>1478</v>
      </c>
      <c r="B482" s="19">
        <v>45361</v>
      </c>
      <c r="C482" s="7">
        <v>360</v>
      </c>
      <c r="D482" s="19">
        <v>45747</v>
      </c>
      <c r="E482" s="7">
        <v>12</v>
      </c>
      <c r="F482" s="29">
        <v>347035</v>
      </c>
      <c r="G482" s="29">
        <v>318507.75718421314</v>
      </c>
      <c r="H482" s="29">
        <v>385594.44444444444</v>
      </c>
      <c r="I482" s="7">
        <v>90</v>
      </c>
      <c r="J482" s="7" t="s">
        <v>64</v>
      </c>
      <c r="K482" s="7">
        <v>667</v>
      </c>
      <c r="L482" s="7">
        <v>46</v>
      </c>
      <c r="M482" s="7" t="s">
        <v>59</v>
      </c>
      <c r="N482" s="10">
        <v>7.2919388826457612E-2</v>
      </c>
      <c r="O482" s="7">
        <v>0.25</v>
      </c>
      <c r="P482" s="7">
        <v>0.27</v>
      </c>
      <c r="R482" s="30">
        <f t="shared" si="61"/>
        <v>936.99450000000013</v>
      </c>
      <c r="S482" s="7" t="str">
        <f t="shared" si="56"/>
        <v>85-90</v>
      </c>
      <c r="T482" s="7" t="str">
        <f t="shared" si="57"/>
        <v>650-700</v>
      </c>
      <c r="U482" s="31">
        <f t="shared" si="58"/>
        <v>0.04</v>
      </c>
      <c r="V482" s="30">
        <f t="shared" si="59"/>
        <v>83608.286260855952</v>
      </c>
      <c r="W482" s="30">
        <f t="shared" si="60"/>
        <v>6677.8672656460549</v>
      </c>
      <c r="X482" s="30">
        <f t="shared" si="62"/>
        <v>6677.8672656460549</v>
      </c>
      <c r="Y482" s="30">
        <f t="shared" si="63"/>
        <v>267.11469062584217</v>
      </c>
    </row>
    <row r="483" spans="1:25" x14ac:dyDescent="0.15">
      <c r="A483" s="7">
        <v>1479</v>
      </c>
      <c r="B483" s="19">
        <v>45422</v>
      </c>
      <c r="C483" s="7">
        <v>360</v>
      </c>
      <c r="D483" s="19">
        <v>45747</v>
      </c>
      <c r="E483" s="7">
        <v>10</v>
      </c>
      <c r="F483" s="29">
        <v>781184</v>
      </c>
      <c r="G483" s="29">
        <v>734719.01496191567</v>
      </c>
      <c r="H483" s="29">
        <v>919040</v>
      </c>
      <c r="I483" s="7">
        <v>85</v>
      </c>
      <c r="J483" s="7" t="s">
        <v>60</v>
      </c>
      <c r="K483" s="7">
        <v>606</v>
      </c>
      <c r="L483" s="7">
        <v>38</v>
      </c>
      <c r="M483" s="7" t="s">
        <v>59</v>
      </c>
      <c r="N483" s="10">
        <v>5.92601299567274E-2</v>
      </c>
      <c r="O483" s="7">
        <v>0.12</v>
      </c>
      <c r="P483" s="7">
        <v>0.35</v>
      </c>
      <c r="R483" s="30">
        <f t="shared" si="61"/>
        <v>2734.1439999999998</v>
      </c>
      <c r="S483" s="7" t="str">
        <f t="shared" si="56"/>
        <v>80-85</v>
      </c>
      <c r="T483" s="7" t="str">
        <f t="shared" si="57"/>
        <v>&lt; 650</v>
      </c>
      <c r="U483" s="31">
        <f t="shared" si="58"/>
        <v>0.04</v>
      </c>
      <c r="V483" s="30">
        <f t="shared" si="59"/>
        <v>92574.595885201386</v>
      </c>
      <c r="W483" s="30">
        <f t="shared" si="60"/>
        <v>-9729.0342899884563</v>
      </c>
      <c r="X483" s="30">
        <f t="shared" si="62"/>
        <v>0</v>
      </c>
      <c r="Y483" s="30">
        <f t="shared" si="63"/>
        <v>0</v>
      </c>
    </row>
    <row r="484" spans="1:25" x14ac:dyDescent="0.15">
      <c r="A484" s="7">
        <v>1480</v>
      </c>
      <c r="B484" s="19">
        <v>45296</v>
      </c>
      <c r="C484" s="7">
        <v>360</v>
      </c>
      <c r="D484" s="19">
        <v>45747</v>
      </c>
      <c r="E484" s="7">
        <v>14</v>
      </c>
      <c r="F484" s="29">
        <v>341977</v>
      </c>
      <c r="G484" s="29">
        <v>313298.36117515503</v>
      </c>
      <c r="H484" s="29">
        <v>417045.12195121951</v>
      </c>
      <c r="I484" s="7">
        <v>82</v>
      </c>
      <c r="J484" s="7" t="s">
        <v>67</v>
      </c>
      <c r="K484" s="7">
        <v>772</v>
      </c>
      <c r="L484" s="7">
        <v>18</v>
      </c>
      <c r="M484" s="7" t="s">
        <v>59</v>
      </c>
      <c r="N484" s="10">
        <v>5.9915808497696281E-2</v>
      </c>
      <c r="O484" s="7">
        <v>0.12</v>
      </c>
      <c r="P484" s="7">
        <v>0.45</v>
      </c>
      <c r="R484" s="30">
        <f t="shared" si="61"/>
        <v>1538.8964999999998</v>
      </c>
      <c r="S484" s="7" t="str">
        <f t="shared" si="56"/>
        <v>80-85</v>
      </c>
      <c r="T484" s="7" t="str">
        <f t="shared" si="57"/>
        <v>750-800</v>
      </c>
      <c r="U484" s="31">
        <f t="shared" si="58"/>
        <v>0.02</v>
      </c>
      <c r="V484" s="30">
        <f t="shared" si="59"/>
        <v>39475.593508069534</v>
      </c>
      <c r="W484" s="30">
        <f t="shared" si="60"/>
        <v>-25525.074424623745</v>
      </c>
      <c r="X484" s="30">
        <f t="shared" si="62"/>
        <v>0</v>
      </c>
      <c r="Y484" s="30">
        <f t="shared" si="63"/>
        <v>0</v>
      </c>
    </row>
    <row r="485" spans="1:25" x14ac:dyDescent="0.15">
      <c r="A485" s="7">
        <v>1481</v>
      </c>
      <c r="B485" s="19">
        <v>45424</v>
      </c>
      <c r="C485" s="7">
        <v>360</v>
      </c>
      <c r="D485" s="19">
        <v>45747</v>
      </c>
      <c r="E485" s="7">
        <v>10</v>
      </c>
      <c r="F485" s="29">
        <v>762695</v>
      </c>
      <c r="G485" s="29">
        <v>710045.11362768151</v>
      </c>
      <c r="H485" s="29">
        <v>866698.86363636365</v>
      </c>
      <c r="I485" s="7">
        <v>88</v>
      </c>
      <c r="J485" s="7" t="s">
        <v>74</v>
      </c>
      <c r="K485" s="7">
        <v>833</v>
      </c>
      <c r="L485" s="7">
        <v>6</v>
      </c>
      <c r="M485" s="7" t="s">
        <v>59</v>
      </c>
      <c r="N485" s="10">
        <v>7.369697132668708E-2</v>
      </c>
      <c r="O485" s="7">
        <v>0.12</v>
      </c>
      <c r="P485" s="7">
        <v>0.4</v>
      </c>
      <c r="R485" s="30">
        <f t="shared" si="61"/>
        <v>3050.78</v>
      </c>
      <c r="S485" s="7" t="str">
        <f t="shared" si="56"/>
        <v>85-90</v>
      </c>
      <c r="T485" s="7" t="str">
        <f t="shared" si="57"/>
        <v>&gt; 800</v>
      </c>
      <c r="U485" s="31">
        <f t="shared" si="58"/>
        <v>0.01</v>
      </c>
      <c r="V485" s="30">
        <f t="shared" si="59"/>
        <v>89465.684317087871</v>
      </c>
      <c r="W485" s="30">
        <f t="shared" si="60"/>
        <v>8853.3352181565715</v>
      </c>
      <c r="X485" s="30">
        <f t="shared" si="62"/>
        <v>8853.3352181565715</v>
      </c>
      <c r="Y485" s="30">
        <f t="shared" si="63"/>
        <v>88.533352181565718</v>
      </c>
    </row>
    <row r="486" spans="1:25" x14ac:dyDescent="0.15">
      <c r="A486" s="7">
        <v>1482</v>
      </c>
      <c r="B486" s="19">
        <v>45319</v>
      </c>
      <c r="C486" s="7">
        <v>360</v>
      </c>
      <c r="D486" s="19">
        <v>45747</v>
      </c>
      <c r="E486" s="7">
        <v>14</v>
      </c>
      <c r="F486" s="29">
        <v>286557</v>
      </c>
      <c r="G486" s="29">
        <v>262167.38038368232</v>
      </c>
      <c r="H486" s="29">
        <v>311475</v>
      </c>
      <c r="I486" s="7">
        <v>92</v>
      </c>
      <c r="J486" s="7" t="s">
        <v>65</v>
      </c>
      <c r="K486" s="7">
        <v>716</v>
      </c>
      <c r="L486" s="7">
        <v>46</v>
      </c>
      <c r="M486" s="7" t="s">
        <v>59</v>
      </c>
      <c r="N486" s="10">
        <v>6.1302077100009261E-2</v>
      </c>
      <c r="O486" s="7">
        <v>0.25</v>
      </c>
      <c r="P486" s="7">
        <v>0.28000000000000003</v>
      </c>
      <c r="R486" s="30">
        <f t="shared" si="61"/>
        <v>802.35960000000011</v>
      </c>
      <c r="S486" s="7" t="str">
        <f t="shared" si="56"/>
        <v>90-95</v>
      </c>
      <c r="T486" s="7" t="str">
        <f t="shared" si="57"/>
        <v>700-750</v>
      </c>
      <c r="U486" s="31">
        <f t="shared" si="58"/>
        <v>0.06</v>
      </c>
      <c r="V486" s="30">
        <f t="shared" si="59"/>
        <v>68818.937350716616</v>
      </c>
      <c r="W486" s="30">
        <f t="shared" si="60"/>
        <v>10521.999402866466</v>
      </c>
      <c r="X486" s="30">
        <f t="shared" si="62"/>
        <v>10521.999402866466</v>
      </c>
      <c r="Y486" s="30">
        <f t="shared" si="63"/>
        <v>631.31996417198798</v>
      </c>
    </row>
    <row r="487" spans="1:25" x14ac:dyDescent="0.15">
      <c r="A487" s="7">
        <v>1483</v>
      </c>
      <c r="B487" s="19">
        <v>45425</v>
      </c>
      <c r="C487" s="7">
        <v>360</v>
      </c>
      <c r="D487" s="19">
        <v>45747</v>
      </c>
      <c r="E487" s="7">
        <v>10</v>
      </c>
      <c r="F487" s="29">
        <v>196996</v>
      </c>
      <c r="G487" s="29">
        <v>184915.11740338278</v>
      </c>
      <c r="H487" s="29">
        <v>209570.21276595746</v>
      </c>
      <c r="I487" s="7">
        <v>94</v>
      </c>
      <c r="J487" s="7" t="s">
        <v>65</v>
      </c>
      <c r="K487" s="7">
        <v>673</v>
      </c>
      <c r="L487" s="7">
        <v>13</v>
      </c>
      <c r="M487" s="7" t="s">
        <v>59</v>
      </c>
      <c r="N487" s="10">
        <v>6.2121131470239316E-2</v>
      </c>
      <c r="O487" s="7">
        <v>0.25</v>
      </c>
      <c r="P487" s="7">
        <v>0.22</v>
      </c>
      <c r="R487" s="30">
        <f t="shared" si="61"/>
        <v>433.39120000000003</v>
      </c>
      <c r="S487" s="7" t="str">
        <f t="shared" si="56"/>
        <v>90-95</v>
      </c>
      <c r="T487" s="7" t="str">
        <f t="shared" si="57"/>
        <v>650-700</v>
      </c>
      <c r="U487" s="31">
        <f t="shared" si="58"/>
        <v>7.0000000000000007E-2</v>
      </c>
      <c r="V487" s="30">
        <f t="shared" si="59"/>
        <v>48540.218318387982</v>
      </c>
      <c r="W487" s="30">
        <f t="shared" si="60"/>
        <v>16026.192422488093</v>
      </c>
      <c r="X487" s="30">
        <f t="shared" si="62"/>
        <v>16026.192422488093</v>
      </c>
      <c r="Y487" s="30">
        <f t="shared" si="63"/>
        <v>1121.8334695741667</v>
      </c>
    </row>
    <row r="488" spans="1:25" x14ac:dyDescent="0.15">
      <c r="A488" s="7">
        <v>1484</v>
      </c>
      <c r="B488" s="19">
        <v>45390</v>
      </c>
      <c r="C488" s="7">
        <v>360</v>
      </c>
      <c r="D488" s="19">
        <v>45747</v>
      </c>
      <c r="E488" s="7">
        <v>11</v>
      </c>
      <c r="F488" s="29">
        <v>192720</v>
      </c>
      <c r="G488" s="29">
        <v>179170.93587046329</v>
      </c>
      <c r="H488" s="29">
        <v>240900</v>
      </c>
      <c r="I488" s="7">
        <v>80</v>
      </c>
      <c r="J488" s="7" t="s">
        <v>74</v>
      </c>
      <c r="K488" s="7">
        <v>629</v>
      </c>
      <c r="L488" s="7">
        <v>3</v>
      </c>
      <c r="M488" s="7" t="s">
        <v>59</v>
      </c>
      <c r="N488" s="10">
        <v>6.6071464669490168E-2</v>
      </c>
      <c r="O488" s="7">
        <v>0.12</v>
      </c>
      <c r="P488" s="7">
        <v>0.43</v>
      </c>
      <c r="R488" s="30">
        <f t="shared" si="61"/>
        <v>828.69600000000003</v>
      </c>
      <c r="S488" s="7" t="str">
        <f t="shared" si="56"/>
        <v>80-85</v>
      </c>
      <c r="T488" s="7" t="str">
        <f t="shared" si="57"/>
        <v>&lt; 650</v>
      </c>
      <c r="U488" s="31">
        <f t="shared" si="58"/>
        <v>0.04</v>
      </c>
      <c r="V488" s="30">
        <f t="shared" si="59"/>
        <v>22575.537919678376</v>
      </c>
      <c r="W488" s="30">
        <f t="shared" si="60"/>
        <v>-16635.517336013523</v>
      </c>
      <c r="X488" s="30">
        <f t="shared" si="62"/>
        <v>0</v>
      </c>
      <c r="Y488" s="30">
        <f t="shared" si="63"/>
        <v>0</v>
      </c>
    </row>
    <row r="489" spans="1:25" x14ac:dyDescent="0.15">
      <c r="A489" s="7">
        <v>1485</v>
      </c>
      <c r="B489" s="19">
        <v>45392</v>
      </c>
      <c r="C489" s="7">
        <v>360</v>
      </c>
      <c r="D489" s="19">
        <v>45747</v>
      </c>
      <c r="E489" s="7">
        <v>11</v>
      </c>
      <c r="F489" s="29">
        <v>678668</v>
      </c>
      <c r="G489" s="29">
        <v>637298.7219869059</v>
      </c>
      <c r="H489" s="29">
        <v>729750.53763440857</v>
      </c>
      <c r="I489" s="7">
        <v>93</v>
      </c>
      <c r="J489" s="7" t="s">
        <v>65</v>
      </c>
      <c r="K489" s="7">
        <v>681</v>
      </c>
      <c r="L489" s="7">
        <v>49</v>
      </c>
      <c r="M489" s="7" t="s">
        <v>59</v>
      </c>
      <c r="N489" s="10">
        <v>5.2814087975738208E-2</v>
      </c>
      <c r="O489" s="7">
        <v>0.25</v>
      </c>
      <c r="P489" s="7">
        <v>0.35</v>
      </c>
      <c r="R489" s="30">
        <f t="shared" si="61"/>
        <v>2375.3379999999997</v>
      </c>
      <c r="S489" s="7" t="str">
        <f t="shared" si="56"/>
        <v>90-95</v>
      </c>
      <c r="T489" s="7" t="str">
        <f t="shared" si="57"/>
        <v>650-700</v>
      </c>
      <c r="U489" s="31">
        <f t="shared" si="58"/>
        <v>7.0000000000000007E-2</v>
      </c>
      <c r="V489" s="30">
        <f t="shared" si="59"/>
        <v>167290.91452156281</v>
      </c>
      <c r="W489" s="30">
        <f t="shared" si="60"/>
        <v>48875.701097003999</v>
      </c>
      <c r="X489" s="30">
        <f t="shared" si="62"/>
        <v>48875.701097003999</v>
      </c>
      <c r="Y489" s="30">
        <f t="shared" si="63"/>
        <v>3421.2990767902802</v>
      </c>
    </row>
    <row r="490" spans="1:25" x14ac:dyDescent="0.15">
      <c r="A490" s="7">
        <v>1486</v>
      </c>
      <c r="B490" s="19">
        <v>45308</v>
      </c>
      <c r="C490" s="7">
        <v>360</v>
      </c>
      <c r="D490" s="19">
        <v>45747</v>
      </c>
      <c r="E490" s="7">
        <v>14</v>
      </c>
      <c r="F490" s="29">
        <v>510049</v>
      </c>
      <c r="G490" s="29">
        <v>459569.37117788859</v>
      </c>
      <c r="H490" s="29">
        <v>614516.86746987957</v>
      </c>
      <c r="I490" s="7">
        <v>83</v>
      </c>
      <c r="J490" s="7" t="s">
        <v>72</v>
      </c>
      <c r="K490" s="7">
        <v>694</v>
      </c>
      <c r="L490" s="7">
        <v>27</v>
      </c>
      <c r="M490" s="7" t="s">
        <v>59</v>
      </c>
      <c r="N490" s="10">
        <v>7.6124365358499674E-2</v>
      </c>
      <c r="O490" s="7">
        <v>0.12</v>
      </c>
      <c r="P490" s="7">
        <v>0.3</v>
      </c>
      <c r="R490" s="30">
        <f t="shared" si="61"/>
        <v>1530.1469999999999</v>
      </c>
      <c r="S490" s="7" t="str">
        <f t="shared" si="56"/>
        <v>80-85</v>
      </c>
      <c r="T490" s="7" t="str">
        <f t="shared" si="57"/>
        <v>650-700</v>
      </c>
      <c r="U490" s="31">
        <f t="shared" si="58"/>
        <v>0.03</v>
      </c>
      <c r="V490" s="30">
        <f t="shared" si="59"/>
        <v>57905.740768413969</v>
      </c>
      <c r="W490" s="30">
        <f t="shared" si="60"/>
        <v>-39791.497612614534</v>
      </c>
      <c r="X490" s="30">
        <f t="shared" si="62"/>
        <v>0</v>
      </c>
      <c r="Y490" s="30">
        <f t="shared" si="63"/>
        <v>0</v>
      </c>
    </row>
    <row r="491" spans="1:25" x14ac:dyDescent="0.15">
      <c r="A491" s="7">
        <v>1487</v>
      </c>
      <c r="B491" s="19">
        <v>45353</v>
      </c>
      <c r="C491" s="7">
        <v>360</v>
      </c>
      <c r="D491" s="19">
        <v>45747</v>
      </c>
      <c r="E491" s="7">
        <v>12</v>
      </c>
      <c r="F491" s="29">
        <v>417473</v>
      </c>
      <c r="G491" s="29">
        <v>390300.57602910016</v>
      </c>
      <c r="H491" s="29">
        <v>469070.7865168539</v>
      </c>
      <c r="I491" s="7">
        <v>89</v>
      </c>
      <c r="J491" s="7" t="s">
        <v>74</v>
      </c>
      <c r="K491" s="7">
        <v>701</v>
      </c>
      <c r="L491" s="7">
        <v>16</v>
      </c>
      <c r="M491" s="7" t="s">
        <v>59</v>
      </c>
      <c r="N491" s="10">
        <v>5.0910316406816099E-2</v>
      </c>
      <c r="O491" s="7">
        <v>0.12</v>
      </c>
      <c r="P491" s="7">
        <v>0.26</v>
      </c>
      <c r="R491" s="30">
        <f t="shared" si="61"/>
        <v>1085.4298000000001</v>
      </c>
      <c r="S491" s="7" t="str">
        <f t="shared" si="56"/>
        <v>85-90</v>
      </c>
      <c r="T491" s="7" t="str">
        <f t="shared" si="57"/>
        <v>700-750</v>
      </c>
      <c r="U491" s="31">
        <f t="shared" si="58"/>
        <v>0.03</v>
      </c>
      <c r="V491" s="30">
        <f t="shared" si="59"/>
        <v>49177.872579666626</v>
      </c>
      <c r="W491" s="30">
        <f t="shared" si="60"/>
        <v>11105.436291229387</v>
      </c>
      <c r="X491" s="30">
        <f t="shared" si="62"/>
        <v>11105.436291229387</v>
      </c>
      <c r="Y491" s="30">
        <f t="shared" si="63"/>
        <v>333.1630887368816</v>
      </c>
    </row>
    <row r="492" spans="1:25" x14ac:dyDescent="0.15">
      <c r="A492" s="7">
        <v>1488</v>
      </c>
      <c r="B492" s="19">
        <v>45417</v>
      </c>
      <c r="C492" s="7">
        <v>360</v>
      </c>
      <c r="D492" s="19">
        <v>45747</v>
      </c>
      <c r="E492" s="7">
        <v>10</v>
      </c>
      <c r="F492" s="29">
        <v>498435</v>
      </c>
      <c r="G492" s="29">
        <v>463628.66582988214</v>
      </c>
      <c r="H492" s="29">
        <v>579575.58139534888</v>
      </c>
      <c r="I492" s="7">
        <v>86</v>
      </c>
      <c r="J492" s="7" t="s">
        <v>63</v>
      </c>
      <c r="K492" s="7">
        <v>609</v>
      </c>
      <c r="L492" s="7">
        <v>42</v>
      </c>
      <c r="M492" s="7" t="s">
        <v>59</v>
      </c>
      <c r="N492" s="10">
        <v>7.4868225456920609E-2</v>
      </c>
      <c r="O492" s="7">
        <v>0.12</v>
      </c>
      <c r="P492" s="7">
        <v>0.33</v>
      </c>
      <c r="R492" s="30">
        <f t="shared" si="61"/>
        <v>1644.8355000000001</v>
      </c>
      <c r="S492" s="7" t="str">
        <f t="shared" si="56"/>
        <v>85-90</v>
      </c>
      <c r="T492" s="7" t="str">
        <f t="shared" si="57"/>
        <v>&lt; 650</v>
      </c>
      <c r="U492" s="31">
        <f t="shared" si="58"/>
        <v>0.05</v>
      </c>
      <c r="V492" s="30">
        <f t="shared" si="59"/>
        <v>58417.211894565153</v>
      </c>
      <c r="W492" s="30">
        <f t="shared" si="60"/>
        <v>-5829.1450646702433</v>
      </c>
      <c r="X492" s="30">
        <f t="shared" si="62"/>
        <v>0</v>
      </c>
      <c r="Y492" s="30">
        <f t="shared" si="63"/>
        <v>0</v>
      </c>
    </row>
    <row r="493" spans="1:25" x14ac:dyDescent="0.15">
      <c r="A493" s="7">
        <v>1489</v>
      </c>
      <c r="B493" s="19">
        <v>45365</v>
      </c>
      <c r="C493" s="7">
        <v>360</v>
      </c>
      <c r="D493" s="19">
        <v>45747</v>
      </c>
      <c r="E493" s="7">
        <v>12</v>
      </c>
      <c r="F493" s="29">
        <v>575467</v>
      </c>
      <c r="G493" s="29">
        <v>537755.95254320092</v>
      </c>
      <c r="H493" s="29">
        <v>661456.32183908042</v>
      </c>
      <c r="I493" s="7">
        <v>87</v>
      </c>
      <c r="J493" s="7" t="s">
        <v>65</v>
      </c>
      <c r="K493" s="7">
        <v>736</v>
      </c>
      <c r="L493" s="7">
        <v>20</v>
      </c>
      <c r="M493" s="7" t="s">
        <v>59</v>
      </c>
      <c r="N493" s="10">
        <v>5.1510902090209372E-2</v>
      </c>
      <c r="O493" s="7">
        <v>0.12</v>
      </c>
      <c r="P493" s="7">
        <v>0.4</v>
      </c>
      <c r="R493" s="30">
        <f t="shared" si="61"/>
        <v>2301.8680000000004</v>
      </c>
      <c r="S493" s="7" t="str">
        <f t="shared" si="56"/>
        <v>85-90</v>
      </c>
      <c r="T493" s="7" t="str">
        <f t="shared" si="57"/>
        <v>700-750</v>
      </c>
      <c r="U493" s="31">
        <f t="shared" si="58"/>
        <v>0.03</v>
      </c>
      <c r="V493" s="30">
        <f t="shared" si="59"/>
        <v>67757.250020443316</v>
      </c>
      <c r="W493" s="30">
        <f t="shared" si="60"/>
        <v>2405.8766071426217</v>
      </c>
      <c r="X493" s="30">
        <f t="shared" si="62"/>
        <v>2405.8766071426217</v>
      </c>
      <c r="Y493" s="30">
        <f t="shared" si="63"/>
        <v>72.176298214278646</v>
      </c>
    </row>
    <row r="494" spans="1:25" x14ac:dyDescent="0.15">
      <c r="A494" s="7">
        <v>1490</v>
      </c>
      <c r="B494" s="19">
        <v>45405</v>
      </c>
      <c r="C494" s="7">
        <v>360</v>
      </c>
      <c r="D494" s="19">
        <v>45747</v>
      </c>
      <c r="E494" s="7">
        <v>11</v>
      </c>
      <c r="F494" s="29">
        <v>389578</v>
      </c>
      <c r="G494" s="29">
        <v>361146.66617073037</v>
      </c>
      <c r="H494" s="29">
        <v>480960.49382716045</v>
      </c>
      <c r="I494" s="7">
        <v>81</v>
      </c>
      <c r="J494" s="7" t="s">
        <v>64</v>
      </c>
      <c r="K494" s="7">
        <v>739</v>
      </c>
      <c r="L494" s="7">
        <v>30</v>
      </c>
      <c r="M494" s="7" t="s">
        <v>59</v>
      </c>
      <c r="N494" s="10">
        <v>6.9724450555803577E-2</v>
      </c>
      <c r="O494" s="7">
        <v>0.12</v>
      </c>
      <c r="P494" s="7">
        <v>0.44</v>
      </c>
      <c r="R494" s="30">
        <f t="shared" si="61"/>
        <v>1714.1432</v>
      </c>
      <c r="S494" s="7" t="str">
        <f t="shared" si="56"/>
        <v>80-85</v>
      </c>
      <c r="T494" s="7" t="str">
        <f t="shared" si="57"/>
        <v>700-750</v>
      </c>
      <c r="U494" s="31">
        <f t="shared" si="58"/>
        <v>2.5000000000000001E-2</v>
      </c>
      <c r="V494" s="30">
        <f t="shared" si="59"/>
        <v>45504.479937512027</v>
      </c>
      <c r="W494" s="30">
        <f t="shared" si="60"/>
        <v>-29612.420273819414</v>
      </c>
      <c r="X494" s="30">
        <f t="shared" si="62"/>
        <v>0</v>
      </c>
      <c r="Y494" s="30">
        <f t="shared" si="63"/>
        <v>0</v>
      </c>
    </row>
    <row r="495" spans="1:25" x14ac:dyDescent="0.15">
      <c r="A495" s="7">
        <v>1491</v>
      </c>
      <c r="B495" s="19">
        <v>45384</v>
      </c>
      <c r="C495" s="7">
        <v>360</v>
      </c>
      <c r="D495" s="19">
        <v>45747</v>
      </c>
      <c r="E495" s="7">
        <v>11</v>
      </c>
      <c r="F495" s="29">
        <v>340993</v>
      </c>
      <c r="G495" s="29">
        <v>315799.8515642666</v>
      </c>
      <c r="H495" s="29">
        <v>362758.51063829788</v>
      </c>
      <c r="I495" s="7">
        <v>94</v>
      </c>
      <c r="J495" s="7" t="s">
        <v>65</v>
      </c>
      <c r="K495" s="7">
        <v>627</v>
      </c>
      <c r="L495" s="7">
        <v>42</v>
      </c>
      <c r="M495" s="7" t="s">
        <v>59</v>
      </c>
      <c r="N495" s="10">
        <v>7.0943640581442036E-2</v>
      </c>
      <c r="O495" s="7">
        <v>0.25</v>
      </c>
      <c r="P495" s="7">
        <v>0.33</v>
      </c>
      <c r="R495" s="30">
        <f t="shared" si="61"/>
        <v>1125.2769000000001</v>
      </c>
      <c r="S495" s="7" t="str">
        <f t="shared" si="56"/>
        <v>90-95</v>
      </c>
      <c r="T495" s="7" t="str">
        <f t="shared" si="57"/>
        <v>&lt; 650</v>
      </c>
      <c r="U495" s="31">
        <f t="shared" si="58"/>
        <v>0.08</v>
      </c>
      <c r="V495" s="30">
        <f t="shared" si="59"/>
        <v>82897.461035619985</v>
      </c>
      <c r="W495" s="30">
        <f t="shared" si="60"/>
        <v>23245.110099926766</v>
      </c>
      <c r="X495" s="30">
        <f t="shared" si="62"/>
        <v>23245.110099926766</v>
      </c>
      <c r="Y495" s="30">
        <f t="shared" si="63"/>
        <v>1859.6088079941412</v>
      </c>
    </row>
    <row r="496" spans="1:25" x14ac:dyDescent="0.15">
      <c r="A496" s="7">
        <v>1492</v>
      </c>
      <c r="B496" s="19">
        <v>45399</v>
      </c>
      <c r="C496" s="7">
        <v>360</v>
      </c>
      <c r="D496" s="19">
        <v>45747</v>
      </c>
      <c r="E496" s="7">
        <v>11</v>
      </c>
      <c r="F496" s="29">
        <v>163767</v>
      </c>
      <c r="G496" s="29">
        <v>151375.77681084312</v>
      </c>
      <c r="H496" s="29">
        <v>202181.48148148146</v>
      </c>
      <c r="I496" s="7">
        <v>81</v>
      </c>
      <c r="J496" s="7" t="s">
        <v>74</v>
      </c>
      <c r="K496" s="7">
        <v>726</v>
      </c>
      <c r="L496" s="7">
        <v>18</v>
      </c>
      <c r="M496" s="7" t="s">
        <v>59</v>
      </c>
      <c r="N496" s="10">
        <v>7.3335462926262071E-2</v>
      </c>
      <c r="O496" s="7">
        <v>0.12</v>
      </c>
      <c r="P496" s="7">
        <v>0.4</v>
      </c>
      <c r="R496" s="30">
        <f t="shared" si="61"/>
        <v>655.06799999999998</v>
      </c>
      <c r="S496" s="7" t="str">
        <f t="shared" si="56"/>
        <v>80-85</v>
      </c>
      <c r="T496" s="7" t="str">
        <f t="shared" si="57"/>
        <v>700-750</v>
      </c>
      <c r="U496" s="31">
        <f t="shared" si="58"/>
        <v>2.5000000000000001E-2</v>
      </c>
      <c r="V496" s="30">
        <f t="shared" si="59"/>
        <v>19073.347878166234</v>
      </c>
      <c r="W496" s="30">
        <f t="shared" si="60"/>
        <v>-12909.693607873953</v>
      </c>
      <c r="X496" s="30">
        <f t="shared" si="62"/>
        <v>0</v>
      </c>
      <c r="Y496" s="30">
        <f t="shared" si="63"/>
        <v>0</v>
      </c>
    </row>
    <row r="497" spans="1:25" x14ac:dyDescent="0.15">
      <c r="A497" s="7">
        <v>1493</v>
      </c>
      <c r="B497" s="19">
        <v>45328</v>
      </c>
      <c r="C497" s="7">
        <v>360</v>
      </c>
      <c r="D497" s="19">
        <v>45747</v>
      </c>
      <c r="E497" s="7">
        <v>13</v>
      </c>
      <c r="F497" s="29">
        <v>450444</v>
      </c>
      <c r="G497" s="29">
        <v>416114.49286345812</v>
      </c>
      <c r="H497" s="29">
        <v>536242.85714285716</v>
      </c>
      <c r="I497" s="7">
        <v>84</v>
      </c>
      <c r="J497" s="7" t="s">
        <v>74</v>
      </c>
      <c r="K497" s="7">
        <v>676</v>
      </c>
      <c r="L497" s="7">
        <v>27</v>
      </c>
      <c r="M497" s="7" t="s">
        <v>59</v>
      </c>
      <c r="N497" s="10">
        <v>5.7921108788556726E-2</v>
      </c>
      <c r="O497" s="7">
        <v>0.12</v>
      </c>
      <c r="P497" s="7">
        <v>0.24</v>
      </c>
      <c r="R497" s="30">
        <f t="shared" si="61"/>
        <v>1081.0655999999999</v>
      </c>
      <c r="S497" s="7" t="str">
        <f t="shared" si="56"/>
        <v>80-85</v>
      </c>
      <c r="T497" s="7" t="str">
        <f t="shared" si="57"/>
        <v>650-700</v>
      </c>
      <c r="U497" s="31">
        <f t="shared" si="58"/>
        <v>0.03</v>
      </c>
      <c r="V497" s="30">
        <f t="shared" si="59"/>
        <v>52430.426100795725</v>
      </c>
      <c r="W497" s="30">
        <f t="shared" si="60"/>
        <v>-18886.211064797535</v>
      </c>
      <c r="X497" s="30">
        <f t="shared" si="62"/>
        <v>0</v>
      </c>
      <c r="Y497" s="30">
        <f t="shared" si="63"/>
        <v>0</v>
      </c>
    </row>
    <row r="498" spans="1:25" x14ac:dyDescent="0.15">
      <c r="A498" s="7">
        <v>1494</v>
      </c>
      <c r="B498" s="19">
        <v>45294</v>
      </c>
      <c r="C498" s="7">
        <v>360</v>
      </c>
      <c r="D498" s="19">
        <v>45747</v>
      </c>
      <c r="E498" s="7">
        <v>14</v>
      </c>
      <c r="F498" s="29">
        <v>412289</v>
      </c>
      <c r="G498" s="29">
        <v>374166.80438159045</v>
      </c>
      <c r="H498" s="29">
        <v>479405.81395348837</v>
      </c>
      <c r="I498" s="7">
        <v>86</v>
      </c>
      <c r="J498" s="7" t="s">
        <v>69</v>
      </c>
      <c r="K498" s="7">
        <v>821</v>
      </c>
      <c r="L498" s="7">
        <v>35</v>
      </c>
      <c r="M498" s="7" t="s">
        <v>59</v>
      </c>
      <c r="N498" s="10">
        <v>6.927826652241445E-2</v>
      </c>
      <c r="O498" s="7">
        <v>0.12</v>
      </c>
      <c r="P498" s="7">
        <v>0.35</v>
      </c>
      <c r="R498" s="30">
        <f t="shared" si="61"/>
        <v>1443.0114999999998</v>
      </c>
      <c r="S498" s="7" t="str">
        <f t="shared" si="56"/>
        <v>85-90</v>
      </c>
      <c r="T498" s="7" t="str">
        <f t="shared" si="57"/>
        <v>&gt; 800</v>
      </c>
      <c r="U498" s="31">
        <f t="shared" si="58"/>
        <v>0.01</v>
      </c>
      <c r="V498" s="30">
        <f t="shared" si="59"/>
        <v>47145.017352080395</v>
      </c>
      <c r="W498" s="30">
        <f t="shared" si="60"/>
        <v>-14619.79725979513</v>
      </c>
      <c r="X498" s="30">
        <f t="shared" si="62"/>
        <v>0</v>
      </c>
      <c r="Y498" s="30">
        <f t="shared" si="63"/>
        <v>0</v>
      </c>
    </row>
    <row r="499" spans="1:25" x14ac:dyDescent="0.15">
      <c r="A499" s="7">
        <v>1495</v>
      </c>
      <c r="B499" s="19">
        <v>45461</v>
      </c>
      <c r="C499" s="7">
        <v>360</v>
      </c>
      <c r="D499" s="19">
        <v>45747</v>
      </c>
      <c r="E499" s="7">
        <v>9</v>
      </c>
      <c r="F499" s="29">
        <v>586997</v>
      </c>
      <c r="G499" s="29">
        <v>553965.34925815044</v>
      </c>
      <c r="H499" s="29">
        <v>667042.04545454541</v>
      </c>
      <c r="I499" s="7">
        <v>88</v>
      </c>
      <c r="J499" s="7" t="s">
        <v>70</v>
      </c>
      <c r="K499" s="7">
        <v>683</v>
      </c>
      <c r="L499" s="7">
        <v>25</v>
      </c>
      <c r="M499" s="7" t="s">
        <v>59</v>
      </c>
      <c r="N499" s="10">
        <v>6.3960513749589568E-2</v>
      </c>
      <c r="O499" s="7">
        <v>0.12</v>
      </c>
      <c r="P499" s="7">
        <v>0.42</v>
      </c>
      <c r="R499" s="30">
        <f t="shared" si="61"/>
        <v>2465.3874000000001</v>
      </c>
      <c r="S499" s="7" t="str">
        <f t="shared" si="56"/>
        <v>85-90</v>
      </c>
      <c r="T499" s="7" t="str">
        <f t="shared" si="57"/>
        <v>650-700</v>
      </c>
      <c r="U499" s="31">
        <f t="shared" si="58"/>
        <v>0.04</v>
      </c>
      <c r="V499" s="30">
        <f t="shared" si="59"/>
        <v>69799.634006526961</v>
      </c>
      <c r="W499" s="30">
        <f t="shared" si="60"/>
        <v>14677.878084694501</v>
      </c>
      <c r="X499" s="30">
        <f t="shared" si="62"/>
        <v>14677.878084694501</v>
      </c>
      <c r="Y499" s="30">
        <f t="shared" si="63"/>
        <v>587.11512338778005</v>
      </c>
    </row>
    <row r="500" spans="1:25" x14ac:dyDescent="0.15">
      <c r="A500" s="7">
        <v>1496</v>
      </c>
      <c r="B500" s="19">
        <v>45349</v>
      </c>
      <c r="C500" s="7">
        <v>360</v>
      </c>
      <c r="D500" s="19">
        <v>45747</v>
      </c>
      <c r="E500" s="7">
        <v>13</v>
      </c>
      <c r="F500" s="29">
        <v>727460</v>
      </c>
      <c r="G500" s="29">
        <v>665576.35050623177</v>
      </c>
      <c r="H500" s="29">
        <v>845883.72093023255</v>
      </c>
      <c r="I500" s="7">
        <v>86</v>
      </c>
      <c r="J500" s="7" t="s">
        <v>74</v>
      </c>
      <c r="K500" s="7">
        <v>710</v>
      </c>
      <c r="L500" s="7">
        <v>13</v>
      </c>
      <c r="M500" s="7" t="s">
        <v>59</v>
      </c>
      <c r="N500" s="10">
        <v>6.8366761981463992E-2</v>
      </c>
      <c r="O500" s="7">
        <v>0.12</v>
      </c>
      <c r="P500" s="7">
        <v>0.35</v>
      </c>
      <c r="R500" s="30">
        <f t="shared" si="61"/>
        <v>2546.1099999999997</v>
      </c>
      <c r="S500" s="7" t="str">
        <f t="shared" si="56"/>
        <v>85-90</v>
      </c>
      <c r="T500" s="7" t="str">
        <f t="shared" si="57"/>
        <v>700-750</v>
      </c>
      <c r="U500" s="31">
        <f t="shared" si="58"/>
        <v>0.03</v>
      </c>
      <c r="V500" s="30">
        <f t="shared" si="59"/>
        <v>83862.620163785206</v>
      </c>
      <c r="W500" s="30">
        <f t="shared" si="60"/>
        <v>-20145.994759154273</v>
      </c>
      <c r="X500" s="30">
        <f t="shared" si="62"/>
        <v>0</v>
      </c>
      <c r="Y500" s="30">
        <f t="shared" si="63"/>
        <v>0</v>
      </c>
    </row>
    <row r="501" spans="1:25" x14ac:dyDescent="0.15">
      <c r="A501" s="7">
        <v>1497</v>
      </c>
      <c r="B501" s="19">
        <v>45371</v>
      </c>
      <c r="C501" s="7">
        <v>360</v>
      </c>
      <c r="D501" s="19">
        <v>45747</v>
      </c>
      <c r="E501" s="7">
        <v>12</v>
      </c>
      <c r="F501" s="29">
        <v>142234</v>
      </c>
      <c r="G501" s="29">
        <v>131698.17400782782</v>
      </c>
      <c r="H501" s="29">
        <v>152939.78494623656</v>
      </c>
      <c r="I501" s="7">
        <v>93</v>
      </c>
      <c r="J501" s="7" t="s">
        <v>68</v>
      </c>
      <c r="K501" s="7">
        <v>821</v>
      </c>
      <c r="L501" s="7">
        <v>16</v>
      </c>
      <c r="M501" s="7" t="s">
        <v>59</v>
      </c>
      <c r="N501" s="10">
        <v>6.2740532836065996E-2</v>
      </c>
      <c r="O501" s="7">
        <v>0.25</v>
      </c>
      <c r="P501" s="7">
        <v>0.2</v>
      </c>
      <c r="R501" s="30">
        <f t="shared" si="61"/>
        <v>284.46800000000002</v>
      </c>
      <c r="S501" s="7" t="str">
        <f t="shared" si="56"/>
        <v>90-95</v>
      </c>
      <c r="T501" s="7" t="str">
        <f t="shared" si="57"/>
        <v>&gt; 800</v>
      </c>
      <c r="U501" s="31">
        <f t="shared" si="58"/>
        <v>0.04</v>
      </c>
      <c r="V501" s="30">
        <f t="shared" si="59"/>
        <v>34570.770677054803</v>
      </c>
      <c r="W501" s="30">
        <f t="shared" si="60"/>
        <v>8284.2655039181409</v>
      </c>
      <c r="X501" s="30">
        <f t="shared" si="62"/>
        <v>8284.2655039181409</v>
      </c>
      <c r="Y501" s="30">
        <f t="shared" si="63"/>
        <v>331.37062015672564</v>
      </c>
    </row>
    <row r="502" spans="1:25" x14ac:dyDescent="0.15">
      <c r="A502" s="7">
        <v>1498</v>
      </c>
      <c r="B502" s="19">
        <v>45388</v>
      </c>
      <c r="C502" s="7">
        <v>360</v>
      </c>
      <c r="D502" s="19">
        <v>45747</v>
      </c>
      <c r="E502" s="7">
        <v>11</v>
      </c>
      <c r="F502" s="29">
        <v>690362</v>
      </c>
      <c r="G502" s="29">
        <v>638033.00609334302</v>
      </c>
      <c r="H502" s="29">
        <v>734427.65957446815</v>
      </c>
      <c r="I502" s="7">
        <v>94</v>
      </c>
      <c r="J502" s="7" t="s">
        <v>63</v>
      </c>
      <c r="K502" s="7">
        <v>835</v>
      </c>
      <c r="L502" s="7">
        <v>23</v>
      </c>
      <c r="M502" s="7" t="s">
        <v>59</v>
      </c>
      <c r="N502" s="10">
        <v>7.3516584450403405E-2</v>
      </c>
      <c r="O502" s="7">
        <v>0.25</v>
      </c>
      <c r="P502" s="7">
        <v>0.36</v>
      </c>
      <c r="R502" s="30">
        <f t="shared" si="61"/>
        <v>2485.3031999999998</v>
      </c>
      <c r="S502" s="7" t="str">
        <f t="shared" si="56"/>
        <v>90-95</v>
      </c>
      <c r="T502" s="7" t="str">
        <f t="shared" si="57"/>
        <v>&gt; 800</v>
      </c>
      <c r="U502" s="31">
        <f t="shared" si="58"/>
        <v>0.04</v>
      </c>
      <c r="V502" s="30">
        <f t="shared" si="59"/>
        <v>167483.66409950255</v>
      </c>
      <c r="W502" s="30">
        <f t="shared" si="60"/>
        <v>45671.145759712323</v>
      </c>
      <c r="X502" s="30">
        <f t="shared" si="62"/>
        <v>45671.145759712323</v>
      </c>
      <c r="Y502" s="30">
        <f t="shared" si="63"/>
        <v>1826.8458303884929</v>
      </c>
    </row>
    <row r="503" spans="1:25" x14ac:dyDescent="0.15">
      <c r="A503" s="7">
        <v>1499</v>
      </c>
      <c r="B503" s="19">
        <v>45407</v>
      </c>
      <c r="C503" s="7">
        <v>360</v>
      </c>
      <c r="D503" s="19">
        <v>45747</v>
      </c>
      <c r="E503" s="7">
        <v>11</v>
      </c>
      <c r="F503" s="29">
        <v>503929</v>
      </c>
      <c r="G503" s="29">
        <v>465881.72416304989</v>
      </c>
      <c r="H503" s="29">
        <v>614547.56097560981</v>
      </c>
      <c r="I503" s="7">
        <v>82</v>
      </c>
      <c r="J503" s="7" t="s">
        <v>69</v>
      </c>
      <c r="K503" s="7">
        <v>654</v>
      </c>
      <c r="L503" s="7">
        <v>45</v>
      </c>
      <c r="M503" s="7" t="s">
        <v>59</v>
      </c>
      <c r="N503" s="10">
        <v>7.3118308210474256E-2</v>
      </c>
      <c r="O503" s="7">
        <v>0.12</v>
      </c>
      <c r="P503" s="7">
        <v>0.34</v>
      </c>
      <c r="R503" s="30">
        <f t="shared" si="61"/>
        <v>1713.3586000000003</v>
      </c>
      <c r="S503" s="7" t="str">
        <f t="shared" si="56"/>
        <v>80-85</v>
      </c>
      <c r="T503" s="7" t="str">
        <f t="shared" si="57"/>
        <v>650-700</v>
      </c>
      <c r="U503" s="31">
        <f t="shared" si="58"/>
        <v>0.03</v>
      </c>
      <c r="V503" s="30">
        <f t="shared" si="59"/>
        <v>58701.097244544289</v>
      </c>
      <c r="W503" s="30">
        <f t="shared" si="60"/>
        <v>-33189.616458065924</v>
      </c>
      <c r="X503" s="30">
        <f t="shared" si="62"/>
        <v>0</v>
      </c>
      <c r="Y503" s="30">
        <f t="shared" si="63"/>
        <v>0</v>
      </c>
    </row>
    <row r="504" spans="1:25" x14ac:dyDescent="0.15">
      <c r="A504" s="7">
        <v>1500</v>
      </c>
      <c r="B504" s="19">
        <v>45392</v>
      </c>
      <c r="C504" s="7">
        <v>360</v>
      </c>
      <c r="D504" s="19">
        <v>45747</v>
      </c>
      <c r="E504" s="7">
        <v>11</v>
      </c>
      <c r="F504" s="29">
        <v>629339</v>
      </c>
      <c r="G504" s="29">
        <v>580189.03749196522</v>
      </c>
      <c r="H504" s="29">
        <v>749213.09523809527</v>
      </c>
      <c r="I504" s="7">
        <v>84</v>
      </c>
      <c r="J504" s="7" t="s">
        <v>68</v>
      </c>
      <c r="K504" s="7">
        <v>778</v>
      </c>
      <c r="L504" s="7">
        <v>32</v>
      </c>
      <c r="M504" s="7" t="s">
        <v>59</v>
      </c>
      <c r="N504" s="10">
        <v>7.6567562946337583E-2</v>
      </c>
      <c r="O504" s="7">
        <v>0.12</v>
      </c>
      <c r="P504" s="7">
        <v>0.43</v>
      </c>
      <c r="R504" s="30">
        <f t="shared" si="61"/>
        <v>2706.1577000000002</v>
      </c>
      <c r="S504" s="7" t="str">
        <f t="shared" si="56"/>
        <v>80-85</v>
      </c>
      <c r="T504" s="7" t="str">
        <f t="shared" si="57"/>
        <v>750-800</v>
      </c>
      <c r="U504" s="31">
        <f t="shared" si="58"/>
        <v>0.02</v>
      </c>
      <c r="V504" s="30">
        <f t="shared" si="59"/>
        <v>73103.818723987613</v>
      </c>
      <c r="W504" s="30">
        <f t="shared" si="60"/>
        <v>-27632.641585817444</v>
      </c>
      <c r="X504" s="30">
        <f t="shared" si="62"/>
        <v>0</v>
      </c>
      <c r="Y504" s="30">
        <f t="shared" si="63"/>
        <v>0</v>
      </c>
    </row>
    <row r="513" spans="3:3" x14ac:dyDescent="0.15">
      <c r="C513" s="17"/>
    </row>
    <row r="514" spans="3:3" x14ac:dyDescent="0.15">
      <c r="C514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1D36E-3B9B-4658-AC8A-5CDAE5FF6BAD}">
  <dimension ref="B2:N25"/>
  <sheetViews>
    <sheetView showGridLines="0" tabSelected="1" zoomScale="80" zoomScaleNormal="80" workbookViewId="0"/>
  </sheetViews>
  <sheetFormatPr baseColWidth="10" defaultColWidth="8.6640625" defaultRowHeight="13" x14ac:dyDescent="0.15"/>
  <cols>
    <col min="1" max="1" width="8.6640625" style="1"/>
    <col min="2" max="2" width="16.33203125" style="1" customWidth="1"/>
    <col min="3" max="3" width="15.6640625" style="1" bestFit="1" customWidth="1"/>
    <col min="4" max="4" width="15.33203125" style="1" bestFit="1" customWidth="1"/>
    <col min="5" max="5" width="11.83203125" style="1" bestFit="1" customWidth="1"/>
    <col min="6" max="6" width="18.83203125" style="1" bestFit="1" customWidth="1"/>
    <col min="7" max="7" width="27.6640625" style="1" bestFit="1" customWidth="1"/>
    <col min="8" max="8" width="17.33203125" style="1" bestFit="1" customWidth="1"/>
    <col min="9" max="9" width="10.1640625" style="1" bestFit="1" customWidth="1"/>
    <col min="10" max="10" width="8.6640625" style="1" bestFit="1" customWidth="1"/>
    <col min="11" max="11" width="26.6640625" style="1" bestFit="1" customWidth="1"/>
    <col min="12" max="12" width="10.33203125" style="1" bestFit="1" customWidth="1"/>
    <col min="13" max="13" width="13.6640625" style="1" bestFit="1" customWidth="1"/>
    <col min="14" max="14" width="15.5" style="1" bestFit="1" customWidth="1"/>
    <col min="15" max="16384" width="8.6640625" style="1"/>
  </cols>
  <sheetData>
    <row r="2" spans="2:14" s="11" customFormat="1" x14ac:dyDescent="0.15">
      <c r="B2" s="12" t="s">
        <v>88</v>
      </c>
    </row>
    <row r="3" spans="2:14" x14ac:dyDescent="0.15">
      <c r="B3" s="20"/>
    </row>
    <row r="5" spans="2:14" ht="28" x14ac:dyDescent="0.15">
      <c r="B5" s="24" t="s">
        <v>89</v>
      </c>
      <c r="C5" s="32">
        <f>SUM('Loan Level Loss &amp; Premium Calc'!$Y$5:$Y$504)</f>
        <v>424507.68111107871</v>
      </c>
    </row>
    <row r="6" spans="2:14" ht="28" x14ac:dyDescent="0.15">
      <c r="B6" s="24" t="s">
        <v>90</v>
      </c>
      <c r="C6" s="32">
        <f>SUM('Loan Level Loss &amp; Premium Calc'!$R$5:$R$504)</f>
        <v>732996.15659999999</v>
      </c>
      <c r="D6" s="23" t="s">
        <v>92</v>
      </c>
    </row>
    <row r="10" spans="2:14" x14ac:dyDescent="0.15">
      <c r="B10" s="25" t="s">
        <v>94</v>
      </c>
      <c r="C10" s="25" t="s">
        <v>91</v>
      </c>
      <c r="D10" s="25" t="s">
        <v>99</v>
      </c>
      <c r="E10" s="25" t="s">
        <v>100</v>
      </c>
      <c r="F10" s="25" t="s">
        <v>46</v>
      </c>
      <c r="G10" s="25" t="s">
        <v>101</v>
      </c>
      <c r="H10" s="25" t="s">
        <v>49</v>
      </c>
      <c r="I10" s="25" t="s">
        <v>52</v>
      </c>
      <c r="J10" s="25" t="s">
        <v>103</v>
      </c>
      <c r="K10" s="25" t="s">
        <v>102</v>
      </c>
      <c r="L10" s="25" t="s">
        <v>105</v>
      </c>
      <c r="M10" s="25" t="s">
        <v>106</v>
      </c>
      <c r="N10" s="25" t="s">
        <v>107</v>
      </c>
    </row>
    <row r="11" spans="2:14" x14ac:dyDescent="0.15">
      <c r="B11" s="26">
        <f>YEAR(Treaty_StartDate)</f>
        <v>2025</v>
      </c>
      <c r="C11" s="33">
        <f t="shared" ref="C11:C21" si="0">Total_Premiums*QS_Percentage*VLOOKUP(1+B11-YEAR(Treaty_StartDate),Premium_Earnings_Pattern,2,FALSE)</f>
        <v>16659.00355909091</v>
      </c>
      <c r="D11" s="33">
        <f t="shared" ref="D11:D21" si="1">Total_Losses*QS_Percentage*VLOOKUP(1+B11-YEAR(Treaty_StartDate),Loss_Emergence_Pattern,2,FALSE)</f>
        <v>1061.2692027776968</v>
      </c>
      <c r="E11" s="33">
        <f>D11</f>
        <v>1061.2692027776968</v>
      </c>
      <c r="F11" s="33">
        <f t="shared" ref="F11:F21" si="2">C11*Ceding_Commision</f>
        <v>3331.8007118181822</v>
      </c>
      <c r="G11" s="33">
        <f t="shared" ref="G11:G21" si="3">C11*Reinsurance_Margin</f>
        <v>2998.6206406363635</v>
      </c>
      <c r="H11" s="33">
        <f>IF(C11-D11-F11&gt;G11,C11-D11-F11-G11,0)</f>
        <v>9267.3130038586678</v>
      </c>
      <c r="I11" s="33">
        <f t="shared" ref="I11:I21" si="4">C11*Brokerage</f>
        <v>333.18007118181822</v>
      </c>
      <c r="J11" s="33">
        <f t="shared" ref="J11:J21" si="5">C11*FET</f>
        <v>166.59003559090911</v>
      </c>
      <c r="K11" s="33">
        <f>C11-D11-F11-H11-I11-J11</f>
        <v>2498.850533863636</v>
      </c>
      <c r="L11" s="34">
        <f>E11/C11</f>
        <v>6.3705443066464584E-2</v>
      </c>
      <c r="M11" s="34">
        <f>((F11+H11+I11+J11)/C11)</f>
        <v>0.78629455693353534</v>
      </c>
      <c r="N11" s="34">
        <f>L11+M11</f>
        <v>0.84999999999999987</v>
      </c>
    </row>
    <row r="12" spans="2:14" x14ac:dyDescent="0.15">
      <c r="B12" s="26">
        <f>B11+1</f>
        <v>2026</v>
      </c>
      <c r="C12" s="33">
        <f t="shared" si="0"/>
        <v>16659.00355909091</v>
      </c>
      <c r="D12" s="33">
        <f t="shared" si="1"/>
        <v>15919.038041665452</v>
      </c>
      <c r="E12" s="33">
        <f t="shared" ref="E12:E21" si="6">D12</f>
        <v>15919.038041665452</v>
      </c>
      <c r="F12" s="33">
        <f t="shared" si="2"/>
        <v>3331.8007118181822</v>
      </c>
      <c r="G12" s="33">
        <f t="shared" si="3"/>
        <v>2998.6206406363635</v>
      </c>
      <c r="H12" s="33">
        <f t="shared" ref="H12:H21" si="7">IF(C12-D12-F12&gt;G12,C12-D12-F12-G12,0)</f>
        <v>0</v>
      </c>
      <c r="I12" s="33">
        <f t="shared" si="4"/>
        <v>333.18007118181822</v>
      </c>
      <c r="J12" s="33">
        <f t="shared" si="5"/>
        <v>166.59003559090911</v>
      </c>
      <c r="K12" s="33">
        <f t="shared" ref="K12:K21" si="8">C12-D12-F12-H12-I12-J12</f>
        <v>-3091.6053011654512</v>
      </c>
      <c r="L12" s="34">
        <f t="shared" ref="L12:L21" si="9">E12/C12</f>
        <v>0.95558164599696871</v>
      </c>
      <c r="M12" s="34">
        <f t="shared" ref="M12:M21" si="10">((F12+H12+I12+J12)/C12)</f>
        <v>0.23000000000000004</v>
      </c>
      <c r="N12" s="34">
        <f t="shared" ref="N12:N21" si="11">L12+M12</f>
        <v>1.1855816459969688</v>
      </c>
    </row>
    <row r="13" spans="2:14" x14ac:dyDescent="0.15">
      <c r="B13" s="26">
        <f t="shared" ref="B13:B21" si="12">B12+1</f>
        <v>2027</v>
      </c>
      <c r="C13" s="33">
        <f t="shared" si="0"/>
        <v>16659.00355909091</v>
      </c>
      <c r="D13" s="33">
        <f t="shared" si="1"/>
        <v>21225.384055553935</v>
      </c>
      <c r="E13" s="33">
        <f t="shared" si="6"/>
        <v>21225.384055553935</v>
      </c>
      <c r="F13" s="33">
        <f t="shared" si="2"/>
        <v>3331.8007118181822</v>
      </c>
      <c r="G13" s="33">
        <f t="shared" si="3"/>
        <v>2998.6206406363635</v>
      </c>
      <c r="H13" s="33">
        <f t="shared" si="7"/>
        <v>0</v>
      </c>
      <c r="I13" s="33">
        <f t="shared" si="4"/>
        <v>333.18007118181822</v>
      </c>
      <c r="J13" s="33">
        <f t="shared" si="5"/>
        <v>166.59003559090911</v>
      </c>
      <c r="K13" s="33">
        <f t="shared" si="8"/>
        <v>-8397.9513150539351</v>
      </c>
      <c r="L13" s="34">
        <f t="shared" si="9"/>
        <v>1.2741088613292917</v>
      </c>
      <c r="M13" s="34">
        <f t="shared" si="10"/>
        <v>0.23000000000000004</v>
      </c>
      <c r="N13" s="34">
        <f t="shared" si="11"/>
        <v>1.5041088613292917</v>
      </c>
    </row>
    <row r="14" spans="2:14" x14ac:dyDescent="0.15">
      <c r="B14" s="26">
        <f t="shared" si="12"/>
        <v>2028</v>
      </c>
      <c r="C14" s="33">
        <f t="shared" si="0"/>
        <v>16659.00355909091</v>
      </c>
      <c r="D14" s="33">
        <f t="shared" si="1"/>
        <v>23347.92246110933</v>
      </c>
      <c r="E14" s="33">
        <f t="shared" si="6"/>
        <v>23347.92246110933</v>
      </c>
      <c r="F14" s="33">
        <f t="shared" si="2"/>
        <v>3331.8007118181822</v>
      </c>
      <c r="G14" s="33">
        <f t="shared" si="3"/>
        <v>2998.6206406363635</v>
      </c>
      <c r="H14" s="33">
        <f t="shared" si="7"/>
        <v>0</v>
      </c>
      <c r="I14" s="33">
        <f t="shared" si="4"/>
        <v>333.18007118181822</v>
      </c>
      <c r="J14" s="33">
        <f t="shared" si="5"/>
        <v>166.59003559090911</v>
      </c>
      <c r="K14" s="33">
        <f t="shared" si="8"/>
        <v>-10520.489720609328</v>
      </c>
      <c r="L14" s="34">
        <f t="shared" si="9"/>
        <v>1.4015197474622207</v>
      </c>
      <c r="M14" s="34">
        <f t="shared" si="10"/>
        <v>0.23000000000000004</v>
      </c>
      <c r="N14" s="34">
        <f t="shared" si="11"/>
        <v>1.6315197474622207</v>
      </c>
    </row>
    <row r="15" spans="2:14" x14ac:dyDescent="0.15">
      <c r="B15" s="26">
        <f t="shared" si="12"/>
        <v>2029</v>
      </c>
      <c r="C15" s="33">
        <f t="shared" si="0"/>
        <v>16659.00355909091</v>
      </c>
      <c r="D15" s="33">
        <f t="shared" si="1"/>
        <v>16980.307244443149</v>
      </c>
      <c r="E15" s="33">
        <f t="shared" si="6"/>
        <v>16980.307244443149</v>
      </c>
      <c r="F15" s="33">
        <f t="shared" si="2"/>
        <v>3331.8007118181822</v>
      </c>
      <c r="G15" s="33">
        <f t="shared" si="3"/>
        <v>2998.6206406363635</v>
      </c>
      <c r="H15" s="33">
        <f t="shared" si="7"/>
        <v>0</v>
      </c>
      <c r="I15" s="33">
        <f t="shared" si="4"/>
        <v>333.18007118181822</v>
      </c>
      <c r="J15" s="33">
        <f t="shared" si="5"/>
        <v>166.59003559090911</v>
      </c>
      <c r="K15" s="33">
        <f t="shared" si="8"/>
        <v>-4152.8745039431487</v>
      </c>
      <c r="L15" s="34">
        <f t="shared" si="9"/>
        <v>1.0192870890634333</v>
      </c>
      <c r="M15" s="34">
        <f t="shared" si="10"/>
        <v>0.23000000000000004</v>
      </c>
      <c r="N15" s="34">
        <f t="shared" si="11"/>
        <v>1.2492870890634333</v>
      </c>
    </row>
    <row r="16" spans="2:14" x14ac:dyDescent="0.15">
      <c r="B16" s="26">
        <f t="shared" si="12"/>
        <v>2030</v>
      </c>
      <c r="C16" s="33">
        <f t="shared" si="0"/>
        <v>16659.00355909091</v>
      </c>
      <c r="D16" s="33">
        <f t="shared" si="1"/>
        <v>12735.230433332361</v>
      </c>
      <c r="E16" s="33">
        <f t="shared" si="6"/>
        <v>12735.230433332361</v>
      </c>
      <c r="F16" s="33">
        <f t="shared" si="2"/>
        <v>3331.8007118181822</v>
      </c>
      <c r="G16" s="33">
        <f t="shared" si="3"/>
        <v>2998.6206406363635</v>
      </c>
      <c r="H16" s="33">
        <f t="shared" si="7"/>
        <v>0</v>
      </c>
      <c r="I16" s="33">
        <f t="shared" si="4"/>
        <v>333.18007118181822</v>
      </c>
      <c r="J16" s="33">
        <f t="shared" si="5"/>
        <v>166.59003559090911</v>
      </c>
      <c r="K16" s="33">
        <f t="shared" si="8"/>
        <v>92.202307167639674</v>
      </c>
      <c r="L16" s="34">
        <f t="shared" si="9"/>
        <v>0.7644653167975749</v>
      </c>
      <c r="M16" s="34">
        <f t="shared" si="10"/>
        <v>0.23000000000000004</v>
      </c>
      <c r="N16" s="34">
        <f t="shared" si="11"/>
        <v>0.99446531679757499</v>
      </c>
    </row>
    <row r="17" spans="2:14" x14ac:dyDescent="0.15">
      <c r="B17" s="26">
        <f t="shared" si="12"/>
        <v>2031</v>
      </c>
      <c r="C17" s="33">
        <f t="shared" si="0"/>
        <v>16659.00355909091</v>
      </c>
      <c r="D17" s="33">
        <f t="shared" si="1"/>
        <v>8490.1536222215746</v>
      </c>
      <c r="E17" s="33">
        <f t="shared" si="6"/>
        <v>8490.1536222215746</v>
      </c>
      <c r="F17" s="33">
        <f t="shared" si="2"/>
        <v>3331.8007118181822</v>
      </c>
      <c r="G17" s="33">
        <f t="shared" si="3"/>
        <v>2998.6206406363635</v>
      </c>
      <c r="H17" s="33">
        <f t="shared" si="7"/>
        <v>1838.4285844147898</v>
      </c>
      <c r="I17" s="33">
        <f t="shared" si="4"/>
        <v>333.18007118181822</v>
      </c>
      <c r="J17" s="33">
        <f t="shared" si="5"/>
        <v>166.59003559090911</v>
      </c>
      <c r="K17" s="33">
        <f t="shared" si="8"/>
        <v>2498.850533863636</v>
      </c>
      <c r="L17" s="34">
        <f t="shared" si="9"/>
        <v>0.50964354453171667</v>
      </c>
      <c r="M17" s="34">
        <f t="shared" si="10"/>
        <v>0.3403564554682833</v>
      </c>
      <c r="N17" s="34">
        <f t="shared" si="11"/>
        <v>0.85</v>
      </c>
    </row>
    <row r="18" spans="2:14" x14ac:dyDescent="0.15">
      <c r="B18" s="26">
        <f t="shared" si="12"/>
        <v>2032</v>
      </c>
      <c r="C18" s="33">
        <f t="shared" si="0"/>
        <v>16659.00355909091</v>
      </c>
      <c r="D18" s="33">
        <f t="shared" si="1"/>
        <v>4245.0768111107873</v>
      </c>
      <c r="E18" s="33">
        <f t="shared" si="6"/>
        <v>4245.0768111107873</v>
      </c>
      <c r="F18" s="33">
        <f t="shared" si="2"/>
        <v>3331.8007118181822</v>
      </c>
      <c r="G18" s="33">
        <f t="shared" si="3"/>
        <v>2998.6206406363635</v>
      </c>
      <c r="H18" s="33">
        <f t="shared" si="7"/>
        <v>6083.5053955255789</v>
      </c>
      <c r="I18" s="33">
        <f t="shared" si="4"/>
        <v>333.18007118181822</v>
      </c>
      <c r="J18" s="33">
        <f t="shared" si="5"/>
        <v>166.59003559090911</v>
      </c>
      <c r="K18" s="33">
        <f t="shared" si="8"/>
        <v>2498.850533863636</v>
      </c>
      <c r="L18" s="34">
        <f t="shared" si="9"/>
        <v>0.25482177226585834</v>
      </c>
      <c r="M18" s="34">
        <f t="shared" si="10"/>
        <v>0.59517822773414175</v>
      </c>
      <c r="N18" s="34">
        <f t="shared" si="11"/>
        <v>0.85000000000000009</v>
      </c>
    </row>
    <row r="19" spans="2:14" x14ac:dyDescent="0.15">
      <c r="B19" s="26">
        <f t="shared" si="12"/>
        <v>2033</v>
      </c>
      <c r="C19" s="33">
        <f t="shared" si="0"/>
        <v>16659.00355909091</v>
      </c>
      <c r="D19" s="33">
        <f t="shared" si="1"/>
        <v>1061.2692027776968</v>
      </c>
      <c r="E19" s="33">
        <f t="shared" si="6"/>
        <v>1061.2692027776968</v>
      </c>
      <c r="F19" s="33">
        <f t="shared" si="2"/>
        <v>3331.8007118181822</v>
      </c>
      <c r="G19" s="33">
        <f t="shared" si="3"/>
        <v>2998.6206406363635</v>
      </c>
      <c r="H19" s="33">
        <f t="shared" si="7"/>
        <v>9267.3130038586678</v>
      </c>
      <c r="I19" s="33">
        <f t="shared" si="4"/>
        <v>333.18007118181822</v>
      </c>
      <c r="J19" s="33">
        <f t="shared" si="5"/>
        <v>166.59003559090911</v>
      </c>
      <c r="K19" s="33">
        <f t="shared" si="8"/>
        <v>2498.850533863636</v>
      </c>
      <c r="L19" s="34">
        <f t="shared" si="9"/>
        <v>6.3705443066464584E-2</v>
      </c>
      <c r="M19" s="34">
        <f t="shared" si="10"/>
        <v>0.78629455693353534</v>
      </c>
      <c r="N19" s="34">
        <f t="shared" si="11"/>
        <v>0.84999999999999987</v>
      </c>
    </row>
    <row r="20" spans="2:14" x14ac:dyDescent="0.15">
      <c r="B20" s="26">
        <f t="shared" si="12"/>
        <v>2034</v>
      </c>
      <c r="C20" s="33">
        <f t="shared" si="0"/>
        <v>16659.00355909091</v>
      </c>
      <c r="D20" s="33">
        <f t="shared" si="1"/>
        <v>1061.2692027776968</v>
      </c>
      <c r="E20" s="33">
        <f t="shared" si="6"/>
        <v>1061.2692027776968</v>
      </c>
      <c r="F20" s="33">
        <f t="shared" si="2"/>
        <v>3331.8007118181822</v>
      </c>
      <c r="G20" s="33">
        <f t="shared" si="3"/>
        <v>2998.6206406363635</v>
      </c>
      <c r="H20" s="33">
        <f t="shared" si="7"/>
        <v>9267.3130038586678</v>
      </c>
      <c r="I20" s="33">
        <f t="shared" si="4"/>
        <v>333.18007118181822</v>
      </c>
      <c r="J20" s="33">
        <f t="shared" si="5"/>
        <v>166.59003559090911</v>
      </c>
      <c r="K20" s="33">
        <f t="shared" si="8"/>
        <v>2498.850533863636</v>
      </c>
      <c r="L20" s="34">
        <f t="shared" si="9"/>
        <v>6.3705443066464584E-2</v>
      </c>
      <c r="M20" s="34">
        <f t="shared" si="10"/>
        <v>0.78629455693353534</v>
      </c>
      <c r="N20" s="34">
        <f t="shared" si="11"/>
        <v>0.84999999999999987</v>
      </c>
    </row>
    <row r="21" spans="2:14" x14ac:dyDescent="0.15">
      <c r="B21" s="26">
        <f t="shared" si="12"/>
        <v>2035</v>
      </c>
      <c r="C21" s="33">
        <f t="shared" si="0"/>
        <v>16659.00355909091</v>
      </c>
      <c r="D21" s="33">
        <f t="shared" si="1"/>
        <v>0</v>
      </c>
      <c r="E21" s="33">
        <f t="shared" si="6"/>
        <v>0</v>
      </c>
      <c r="F21" s="33">
        <f t="shared" si="2"/>
        <v>3331.8007118181822</v>
      </c>
      <c r="G21" s="33">
        <f t="shared" si="3"/>
        <v>2998.6206406363635</v>
      </c>
      <c r="H21" s="33">
        <f t="shared" si="7"/>
        <v>10328.582206636365</v>
      </c>
      <c r="I21" s="33">
        <f t="shared" si="4"/>
        <v>333.18007118181822</v>
      </c>
      <c r="J21" s="33">
        <f t="shared" si="5"/>
        <v>166.59003559090911</v>
      </c>
      <c r="K21" s="33">
        <f t="shared" si="8"/>
        <v>2498.850533863636</v>
      </c>
      <c r="L21" s="34">
        <f t="shared" si="9"/>
        <v>0</v>
      </c>
      <c r="M21" s="34">
        <f t="shared" si="10"/>
        <v>0.85</v>
      </c>
      <c r="N21" s="34">
        <f t="shared" si="11"/>
        <v>0.85</v>
      </c>
    </row>
    <row r="24" spans="2:14" ht="42" x14ac:dyDescent="0.15">
      <c r="B24" s="27" t="s">
        <v>108</v>
      </c>
      <c r="C24" s="35">
        <f>SUM(K12:K21)+0.75*K11</f>
        <v>-11702.327963888321</v>
      </c>
    </row>
    <row r="25" spans="2:14" x14ac:dyDescent="0.15">
      <c r="B25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25</vt:i4>
      </vt:variant>
    </vt:vector>
  </HeadingPairs>
  <TitlesOfParts>
    <vt:vector size="30" baseType="lpstr">
      <vt:lpstr>Assumptions</vt:lpstr>
      <vt:lpstr>Treaty Features</vt:lpstr>
      <vt:lpstr>Loan Level Data Inputs</vt:lpstr>
      <vt:lpstr>Loan Level Loss &amp; Premium Calc</vt:lpstr>
      <vt:lpstr>PML Calculation</vt:lpstr>
      <vt:lpstr>Basis_of_Cover</vt:lpstr>
      <vt:lpstr>Brokerage</vt:lpstr>
      <vt:lpstr>Ceding_Commision</vt:lpstr>
      <vt:lpstr>Default_Rates</vt:lpstr>
      <vt:lpstr>DefaultRates_Table</vt:lpstr>
      <vt:lpstr>Expense_Loading</vt:lpstr>
      <vt:lpstr>FET</vt:lpstr>
      <vt:lpstr>FICO_DefaultTabe</vt:lpstr>
      <vt:lpstr>Final_PML</vt:lpstr>
      <vt:lpstr>HPI_Movement</vt:lpstr>
      <vt:lpstr>Insurer_Name</vt:lpstr>
      <vt:lpstr>Loss_Emergence_Pattern</vt:lpstr>
      <vt:lpstr>LTV_DefaultTable</vt:lpstr>
      <vt:lpstr>LTV_FICO_DefaultRates</vt:lpstr>
      <vt:lpstr>p</vt:lpstr>
      <vt:lpstr>Premium_Earnings_Pattern</vt:lpstr>
      <vt:lpstr>Profit_Commission</vt:lpstr>
      <vt:lpstr>QS_Percentage</vt:lpstr>
      <vt:lpstr>Recovery_Lag</vt:lpstr>
      <vt:lpstr>Reinsurance_Margin</vt:lpstr>
      <vt:lpstr>Total_Losses</vt:lpstr>
      <vt:lpstr>Total_Premiums</vt:lpstr>
      <vt:lpstr>Treaty_Code</vt:lpstr>
      <vt:lpstr>Treaty_EndDate</vt:lpstr>
      <vt:lpstr>Treaty_StartDate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Nishant Oswal</cp:lastModifiedBy>
  <dcterms:created xsi:type="dcterms:W3CDTF">2015-06-05T18:17:20Z</dcterms:created>
  <dcterms:modified xsi:type="dcterms:W3CDTF">2026-03-18T06:16:08Z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d7c6a4-0f74-4726-8fcb-44bf2fb15ac1_Enabled">
    <vt:lpwstr>true</vt:lpwstr>
  </property>
  <property fmtid="{D5CDD505-2E9C-101B-9397-08002B2CF9AE}" pid="3" name="MSIP_Label_49d7c6a4-0f74-4726-8fcb-44bf2fb15ac1_SetDate">
    <vt:lpwstr>2026-03-18T06:16:06Z</vt:lpwstr>
  </property>
  <property fmtid="{D5CDD505-2E9C-101B-9397-08002B2CF9AE}" pid="4" name="MSIP_Label_49d7c6a4-0f74-4726-8fcb-44bf2fb15ac1_Method">
    <vt:lpwstr>Standard</vt:lpwstr>
  </property>
  <property fmtid="{D5CDD505-2E9C-101B-9397-08002B2CF9AE}" pid="5" name="MSIP_Label_49d7c6a4-0f74-4726-8fcb-44bf2fb15ac1_Name">
    <vt:lpwstr>Internal Use</vt:lpwstr>
  </property>
  <property fmtid="{D5CDD505-2E9C-101B-9397-08002B2CF9AE}" pid="6" name="MSIP_Label_49d7c6a4-0f74-4726-8fcb-44bf2fb15ac1_SiteId">
    <vt:lpwstr>d2e2586c-26fc-4432-ba2d-36310b7de83d</vt:lpwstr>
  </property>
  <property fmtid="{D5CDD505-2E9C-101B-9397-08002B2CF9AE}" pid="7" name="MSIP_Label_49d7c6a4-0f74-4726-8fcb-44bf2fb15ac1_ActionId">
    <vt:lpwstr>c52a4351-0bc7-4da2-96f4-2649c6222960</vt:lpwstr>
  </property>
  <property fmtid="{D5CDD505-2E9C-101B-9397-08002B2CF9AE}" pid="8" name="MSIP_Label_49d7c6a4-0f74-4726-8fcb-44bf2fb15ac1_ContentBits">
    <vt:lpwstr>0</vt:lpwstr>
  </property>
  <property fmtid="{D5CDD505-2E9C-101B-9397-08002B2CF9AE}" pid="9" name="MSIP_Label_49d7c6a4-0f74-4726-8fcb-44bf2fb15ac1_Tag">
    <vt:lpwstr>50, 3, 0, 1</vt:lpwstr>
  </property>
</Properties>
</file>